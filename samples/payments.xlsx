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3.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1.xml" ContentType="application/xml"/>
  <Override PartName="/customXml/itemProps1.xml" ContentType="application/vnd.openxmlformats-officedocument.customXmlProperties+xml"/>
  <Override PartName="/customXml/item2.xml" ContentType="application/xml"/>
  <Override PartName="/customXml/_rels/item3.xml.rels" ContentType="application/vnd.openxmlformats-package.relationships+xml"/>
  <Override PartName="/customXml/_rels/item2.xml.rels" ContentType="application/vnd.openxmlformats-package.relationships+xml"/>
  <Override PartName="/customXml/_rels/item1.xml.rels" ContentType="application/vnd.openxmlformats-package.relationships+xml"/>
  <Override PartName="/customXml/itemProps2.xml" ContentType="application/vnd.openxmlformats-officedocument.customXmlProperties+xml"/>
  <Override PartName="/customXml/item3.xml" ContentType="application/xml"/>
  <Override PartName="/customXml/itemProps3.xml" ContentType="application/vnd.openxmlformats-officedocument.customXml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 Id="rId5" Type="http://schemas.openxmlformats.org/officeDocument/2006/relationships/customXml" Target="../customXml/item1.xml"/><Relationship Id="rId6" Type="http://schemas.openxmlformats.org/officeDocument/2006/relationships/customXml" Target="../customXml/item2.xml"/><Relationship Id="rId7" Type="http://schemas.openxmlformats.org/officeDocument/2006/relationships/customXml" Target="../customXml/item3.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Model" sheetId="1" state="visible" r:id="rId3"/>
    <sheet name="DataTypes" sheetId="2" state="visible" r:id="rId4"/>
    <sheet name="InstanceMapping" sheetId="3" state="visible" r:id="rId5"/>
    <sheet name="Sheet1" sheetId="4" state="visible" r:id="rId6"/>
    <sheet name="Domains" sheetId="5" state="visible" r:id="rId7"/>
  </sheets>
  <definedNames>
    <definedName function="false" hidden="true" localSheetId="2" name="_xlnm._FilterDatabase" vbProcedure="false">InstanceMapping!$A$1:$I$208</definedName>
    <definedName function="false" hidden="true" localSheetId="0" name="_xlnm._FilterDatabase" vbProcedure="false">Model!$A$1:$AX$218</definedName>
    <definedName function="false" hidden="false" localSheetId="2" name="_xlnm.Extract" vbProcedure="false">InstanceMapping!$B$2</definedName>
    <definedName function="false" hidden="false" localSheetId="3" name="_xlnm.Extract" vbProcedure="false">Sheet1!$C$1</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<sst xmlns="http://schemas.openxmlformats.org/spreadsheetml/2006/main" count="6434" uniqueCount="772">
  <si>
    <t xml:space="preserve">Namespace</t>
  </si>
  <si>
    <t xml:space="preserve">NamespaceLabel</t>
  </si>
  <si>
    <t xml:space="preserve">NamespaceDescription</t>
  </si>
  <si>
    <t xml:space="preserve">NamespaceParent</t>
  </si>
  <si>
    <t xml:space="preserve">SubjectArea</t>
  </si>
  <si>
    <t xml:space="preserve">SubjectAreaLabel</t>
  </si>
  <si>
    <t xml:space="preserve">SubjectAreaDescription</t>
  </si>
  <si>
    <t xml:space="preserve">ParentSubjectArea</t>
  </si>
  <si>
    <t xml:space="preserve">ModelNamespace</t>
  </si>
  <si>
    <t xml:space="preserve">Model</t>
  </si>
  <si>
    <t xml:space="preserve">ModelLabel</t>
  </si>
  <si>
    <t xml:space="preserve">ModelDescription</t>
  </si>
  <si>
    <t xml:space="preserve">ModelType</t>
  </si>
  <si>
    <t xml:space="preserve">Entity</t>
  </si>
  <si>
    <t xml:space="preserve">EntityLabel</t>
  </si>
  <si>
    <t xml:space="preserve">EntityDescription</t>
  </si>
  <si>
    <t xml:space="preserve">Attribute</t>
  </si>
  <si>
    <t xml:space="preserve">AttributeLabel</t>
  </si>
  <si>
    <t xml:space="preserve">AttributeDescription</t>
  </si>
  <si>
    <t xml:space="preserve">AttributeSequence</t>
  </si>
  <si>
    <t xml:space="preserve">AttributeDomainNamespace</t>
  </si>
  <si>
    <t xml:space="preserve">AttributeDomain</t>
  </si>
  <si>
    <t xml:space="preserve">ISO Mapping</t>
  </si>
  <si>
    <t xml:space="preserve">Requires Fix/Rework after updates w/c 21/02/2024</t>
  </si>
  <si>
    <t xml:space="preserve">AttributeNulls</t>
  </si>
  <si>
    <t xml:space="preserve">IsPK</t>
  </si>
  <si>
    <t xml:space="preserve">EntityKey</t>
  </si>
  <si>
    <t xml:space="preserve">EntityKeyLabel</t>
  </si>
  <si>
    <t xml:space="preserve">EntityKeyDescription</t>
  </si>
  <si>
    <t xml:space="preserve">EntityKeyAttributes</t>
  </si>
  <si>
    <t xml:space="preserve">Relationship</t>
  </si>
  <si>
    <t xml:space="preserve">_uniquetest</t>
  </si>
  <si>
    <t xml:space="preserve">RelationshipLabel</t>
  </si>
  <si>
    <t xml:space="preserve">RelationshipDescription</t>
  </si>
  <si>
    <t xml:space="preserve">RelationshipType</t>
  </si>
  <si>
    <t xml:space="preserve">SourceRoleEntity</t>
  </si>
  <si>
    <t xml:space="preserve">SourceRole</t>
  </si>
  <si>
    <t xml:space="preserve">SourceRoleLabel</t>
  </si>
  <si>
    <t xml:space="preserve">SourceRoleKey</t>
  </si>
  <si>
    <t xml:space="preserve">FromAttribute</t>
  </si>
  <si>
    <t xml:space="preserve">SourceRoleOptionality</t>
  </si>
  <si>
    <t xml:space="preserve">SourceRoleCardinality</t>
  </si>
  <si>
    <t xml:space="preserve">TargetEntityModel</t>
  </si>
  <si>
    <t xml:space="preserve">TargetRoleEntity</t>
  </si>
  <si>
    <t xml:space="preserve">TargetRole</t>
  </si>
  <si>
    <t xml:space="preserve">TargetRoleLabel</t>
  </si>
  <si>
    <t xml:space="preserve">TargetRoleKey</t>
  </si>
  <si>
    <t xml:space="preserve">ToAttribute</t>
  </si>
  <si>
    <t xml:space="preserve">TargetRoleOptionality</t>
  </si>
  <si>
    <t xml:space="preserve">TargetRoleCardinality</t>
  </si>
  <si>
    <t xml:space="preserve">PaymentsLogical</t>
  </si>
  <si>
    <t xml:space="preserve">A namespace used to uniquely identify objects within the Payments Logical data model.</t>
  </si>
  <si>
    <t xml:space="preserve">Payments</t>
  </si>
  <si>
    <t xml:space="preserve">Top level domain covering all aspects of the process of transacting cash between account-holding parties.</t>
  </si>
  <si>
    <t xml:space="preserve">Root</t>
  </si>
  <si>
    <t xml:space="preserve">Payment</t>
  </si>
  <si>
    <t xml:space="preserve">Core Payment Domain covering specific entities and properties attributable directly to a Payment Transaction</t>
  </si>
  <si>
    <t xml:space="preserve">Messaging</t>
  </si>
  <si>
    <t xml:space="preserve">Messaging domain covers the various functional signals that are sent between participants in the course of negotiating, executing and querying payments within the context of a payments interface.</t>
  </si>
  <si>
    <t xml:space="preserve">Interface</t>
  </si>
  <si>
    <t xml:space="preserve">The Interface domain covers the systems, protocols, participants and controls that enable payments to be made between Account Servicing and Account Holding parties. </t>
  </si>
  <si>
    <t xml:space="preserve">Accounts</t>
  </si>
  <si>
    <t xml:space="preserve">Accounts domain covers the theme of booking debits and credits into Accounts, where those accounts are held by and serviced by Account Servicing and Account Holding parties.</t>
  </si>
  <si>
    <t xml:space="preserve">Party</t>
  </si>
  <si>
    <t xml:space="preserve">Party domain describes entities that participate within the Payments domain. They might be Individuals or Organisations, and they will play different roles within the context of a Payment transaction. </t>
  </si>
  <si>
    <t xml:space="preserve">Investigation</t>
  </si>
  <si>
    <t xml:space="preserve">Where some non-systematic issue arises outside of the functions normally provided for within an Interface's Messaging capability, the Investigation domain will cover the types of activities and data retained to perform such activity.</t>
  </si>
  <si>
    <t xml:space="preserve">Processing</t>
  </si>
  <si>
    <t xml:space="preserve">Processing domain covers internal decision making, rule and logic capture performed by the Payment processing entity in the course of executing a payment. </t>
  </si>
  <si>
    <t xml:space="preserve">Global.Datamodel.Logical</t>
  </si>
  <si>
    <t xml:space="preserve">Payments Logical Data Model</t>
  </si>
  <si>
    <t xml:space="preserve">A logical data model focusing on post-settlement payments.</t>
  </si>
  <si>
    <t xml:space="preserve">Logical</t>
  </si>
  <si>
    <t xml:space="preserve">PostalAddress</t>
  </si>
  <si>
    <t xml:space="preserve">Information that locates and identifies a specific address, as defined by postal services.</t>
  </si>
  <si>
    <t xml:space="preserve">PostalAddressIdentifier</t>
  </si>
  <si>
    <t xml:space="preserve">Unique Internal Identifier (Primary Key)</t>
  </si>
  <si>
    <t xml:space="preserve">Global.Domain</t>
  </si>
  <si>
    <t xml:space="preserve">Identifier</t>
  </si>
  <si>
    <t xml:space="preserve">No</t>
  </si>
  <si>
    <t xml:space="preserve">Yes</t>
  </si>
  <si>
    <t xml:space="preserve">PK</t>
  </si>
  <si>
    <t xml:space="preserve">Primary Key</t>
  </si>
  <si>
    <t xml:space="preserve">AddressType</t>
  </si>
  <si>
    <t xml:space="preserve">Identifies the nature of the postal address.
ADDR - Postal Address
PBOX - PO Box
BIZZ - Business etc</t>
  </si>
  <si>
    <t xml:space="preserve">String</t>
  </si>
  <si>
    <t xml:space="preserve">CareOf</t>
  </si>
  <si>
    <t xml:space="preserve">Identifies an addressee that is accepting the correspondence for the intended recipient</t>
  </si>
  <si>
    <t xml:space="preserve">Department</t>
  </si>
  <si>
    <t xml:space="preserve">Identification of a division of a large organisation or building</t>
  </si>
  <si>
    <t xml:space="preserve">PstlAdr.Dept</t>
  </si>
  <si>
    <t xml:space="preserve">SubDepartment</t>
  </si>
  <si>
    <t xml:space="preserve">Identification of a sub-division of a large organisation or building</t>
  </si>
  <si>
    <t xml:space="preserve">PstlAdr.SubDept</t>
  </si>
  <si>
    <t xml:space="preserve">BuildingNumber</t>
  </si>
  <si>
    <t xml:space="preserve">Number that identifies the position of a building on a street.</t>
  </si>
  <si>
    <t xml:space="preserve">BuildingName</t>
  </si>
  <si>
    <t xml:space="preserve">Name of the building or house.</t>
  </si>
  <si>
    <t xml:space="preserve">StreetName</t>
  </si>
  <si>
    <t xml:space="preserve">Name of a street or thoroughfare.</t>
  </si>
  <si>
    <t xml:space="preserve">Floor</t>
  </si>
  <si>
    <t xml:space="preserve">Floor or storey within a building.</t>
  </si>
  <si>
    <t xml:space="preserve">UnitNumber</t>
  </si>
  <si>
    <t xml:space="preserve">Identifies a flat or dwelling within the building.</t>
  </si>
  <si>
    <t xml:space="preserve">PostBox</t>
  </si>
  <si>
    <t xml:space="preserve">Numbered box in a post office, assigned to a person or organisation, where letters are kept until called for.</t>
  </si>
  <si>
    <t xml:space="preserve">Room</t>
  </si>
  <si>
    <t xml:space="preserve">Building room number.</t>
  </si>
  <si>
    <t xml:space="preserve">PostCode</t>
  </si>
  <si>
    <t xml:space="preserve">Identifier consisting of a group of letters and/or numbers that is added to a postal address to assist the sorting of mail.</t>
  </si>
  <si>
    <t xml:space="preserve">TownName</t>
  </si>
  <si>
    <t xml:space="preserve">Name of a built-up area, with defined boundaries, and a local government.</t>
  </si>
  <si>
    <t xml:space="preserve">TownLocationName</t>
  </si>
  <si>
    <t xml:space="preserve">Specific location name within the town.</t>
  </si>
  <si>
    <t xml:space="preserve">DistrictName</t>
  </si>
  <si>
    <t xml:space="preserve">Identifies a subdivision within a country sub-division.</t>
  </si>
  <si>
    <t xml:space="preserve">CountrySubDivision</t>
  </si>
  <si>
    <t xml:space="preserve">Identifies a subdivision of a country such as state, region, county.</t>
  </si>
  <si>
    <t xml:space="preserve">ISOCountryCode</t>
  </si>
  <si>
    <t xml:space="preserve">Nation with its own government.</t>
  </si>
  <si>
    <t xml:space="preserve">UnstructuredAddressLine1</t>
  </si>
  <si>
    <t xml:space="preserve">Address Line in free text format</t>
  </si>
  <si>
    <t xml:space="preserve">UnstructuredAddressLine2</t>
  </si>
  <si>
    <t xml:space="preserve">UnstructuredAddressLine3</t>
  </si>
  <si>
    <t xml:space="preserve">UnstructuredAddressLine4</t>
  </si>
  <si>
    <t xml:space="preserve">UnstructuredAddressLine5</t>
  </si>
  <si>
    <t xml:space="preserve">UnstructuredAddressLine6</t>
  </si>
  <si>
    <t xml:space="preserve">UnstructuredAddressLine7</t>
  </si>
  <si>
    <t xml:space="preserve">PartyIdentification</t>
  </si>
  <si>
    <t xml:space="preserve">Specifies the identification of a person or an organisation.</t>
  </si>
  <si>
    <t xml:space="preserve">PartyIdentificationInstanceID</t>
  </si>
  <si>
    <t xml:space="preserve">Name</t>
  </si>
  <si>
    <t xml:space="preserve">PartyType</t>
  </si>
  <si>
    <t xml:space="preserve">FK-PostalAddress</t>
  </si>
  <si>
    <t xml:space="preserve">PartyIdentificationHasAddress</t>
  </si>
  <si>
    <t xml:space="preserve">subject</t>
  </si>
  <si>
    <t xml:space="preserve">One</t>
  </si>
  <si>
    <t xml:space="preserve">Global.Datamodel.Logical.Payments</t>
  </si>
  <si>
    <t xml:space="preserve">object</t>
  </si>
  <si>
    <t xml:space="preserve">OrgBIC</t>
  </si>
  <si>
    <t xml:space="preserve">Business identification code of the organisation</t>
  </si>
  <si>
    <t xml:space="preserve">Id.OrgId.AnyBIC</t>
  </si>
  <si>
    <t xml:space="preserve">LEIIdentifier</t>
  </si>
  <si>
    <t xml:space="preserve">Legal entity identification as an alternate identification for a party.</t>
  </si>
  <si>
    <t xml:space="preserve">SchemeIssuedIdentifier</t>
  </si>
  <si>
    <t xml:space="preserve">IdentifyingScheme</t>
  </si>
  <si>
    <t xml:space="preserve">IdentityIssuer</t>
  </si>
  <si>
    <t xml:space="preserve">DateOfBirth</t>
  </si>
  <si>
    <t xml:space="preserve">Date on which a person is born</t>
  </si>
  <si>
    <t xml:space="preserve">Date</t>
  </si>
  <si>
    <t xml:space="preserve">ProvinceOfBirth</t>
  </si>
  <si>
    <t xml:space="preserve">Province where a person was born.</t>
  </si>
  <si>
    <t xml:space="preserve">CityOfBirth</t>
  </si>
  <si>
    <t xml:space="preserve">City where a person was born.</t>
  </si>
  <si>
    <t xml:space="preserve">CountryOfBirth</t>
  </si>
  <si>
    <t xml:space="preserve">Country where a person was born.</t>
  </si>
  <si>
    <t xml:space="preserve">PaymentMessage</t>
  </si>
  <si>
    <t xml:space="preserve">Payment Message</t>
  </si>
  <si>
    <t xml:space="preserve">A referrence to any record of communication regards a payment, be it instructions, or requests for status that pass over an Integration Channel.</t>
  </si>
  <si>
    <t xml:space="preserve">UniquePaymentMessageIdentifier</t>
  </si>
  <si>
    <t xml:space="preserve">MessageIdentifyingReference</t>
  </si>
  <si>
    <t xml:space="preserve">Point to point reference, as assigned by the instructing party, and sent to the next party in the chain to unambiguously identify the message.
Usage: The instructing party has to make sure that MessageIdentification is unique per instructed party for a pre-agreed period</t>
  </si>
  <si>
    <t xml:space="preserve">MessageSender</t>
  </si>
  <si>
    <t xml:space="preserve">FK-PartyIdentification</t>
  </si>
  <si>
    <t xml:space="preserve">MessageHasSender</t>
  </si>
  <si>
    <t xml:space="preserve">Liink to the identification information supplied to identify a party</t>
  </si>
  <si>
    <t xml:space="preserve">InterfaceID</t>
  </si>
  <si>
    <t xml:space="preserve">The ID of the Interface over which this Instruction was delivered.</t>
  </si>
  <si>
    <t xml:space="preserve">FK-Interface</t>
  </si>
  <si>
    <t xml:space="preserve">MessageReceivedOverInterface</t>
  </si>
  <si>
    <t xml:space="preserve">ReceivedOverInterface</t>
  </si>
  <si>
    <t xml:space="preserve">The Interface over which this Instruction was communicated.</t>
  </si>
  <si>
    <t xml:space="preserve">Many</t>
  </si>
  <si>
    <t xml:space="preserve">MessageCreationDateTime</t>
  </si>
  <si>
    <t xml:space="preserve">DateTime</t>
  </si>
  <si>
    <t xml:space="preserve">MessageDefinitionISOClass</t>
  </si>
  <si>
    <t xml:space="preserve">ISO Class defining the message.
E.g pain.001.001.003, pacs.001.001.008</t>
  </si>
  <si>
    <t xml:space="preserve">PaymentInstructiontPaymentMessage</t>
  </si>
  <si>
    <t xml:space="preserve">Association Table between PaymentInstruction and PaymentMessage</t>
  </si>
  <si>
    <t xml:space="preserve">UniquePIPMID</t>
  </si>
  <si>
    <t xml:space="preserve">PaymentInstructionInternalIdentifier</t>
  </si>
  <si>
    <t xml:space="preserve">FK-PaymentInstruction</t>
  </si>
  <si>
    <t xml:space="preserve">InstructionMessageInstruction</t>
  </si>
  <si>
    <t xml:space="preserve">PaymentInstruction</t>
  </si>
  <si>
    <t xml:space="preserve">FK-PaymentMessage</t>
  </si>
  <si>
    <t xml:space="preserve">InstructionMessageMessage</t>
  </si>
  <si>
    <t xml:space="preserve">PaymentInstructionGroup</t>
  </si>
  <si>
    <t xml:space="preserve">Payment Instruction Group</t>
  </si>
  <si>
    <t xml:space="preserve">Where payments are instructed as part of a group, the group is associated to the PaymentInstruction that instructed them. Grouped payments might optionally generate different booking entries (e.g. multiple credits offset against a single debit)</t>
  </si>
  <si>
    <t xml:space="preserve">PaymentInstructionGroupIdentifier</t>
  </si>
  <si>
    <t xml:space="preserve">Payment Instruction Group Identifier</t>
  </si>
  <si>
    <t xml:space="preserve">ParentPaymentInstructionGroupIdentifier</t>
  </si>
  <si>
    <t xml:space="preserve">Parent Payment Instruction Group Identifier</t>
  </si>
  <si>
    <t xml:space="preserve">An optional pointer to any higher-level group that this group my be a part of. Enables the establishment of a nested hierarchy of groups that mirrors the nested hierarchy of some message-types.</t>
  </si>
  <si>
    <t xml:space="preserve">FK-PaymentInstructionGroup</t>
  </si>
  <si>
    <t xml:space="preserve">InstructionGroupParent</t>
  </si>
  <si>
    <t xml:space="preserve">ParentGroup</t>
  </si>
  <si>
    <t xml:space="preserve">A pointer to the message in which this group was defined.</t>
  </si>
  <si>
    <t xml:space="preserve">InstructionGroupMessage</t>
  </si>
  <si>
    <t xml:space="preserve">Message</t>
  </si>
  <si>
    <t xml:space="preserve">Type</t>
  </si>
  <si>
    <t xml:space="preserve">BulkCount</t>
  </si>
  <si>
    <t xml:space="preserve">A count of the number of payments expected to be described by this group.</t>
  </si>
  <si>
    <t xml:space="preserve">Integer</t>
  </si>
  <si>
    <t xml:space="preserve">BulkMarker</t>
  </si>
  <si>
    <t xml:space="preserve">A flag indicating a positive value when BulkCount is greater than one, and a neutral/negative value when the BulkCount is equal to one. Identifies groups of size&gt;1
</t>
  </si>
  <si>
    <t xml:space="preserve">Boolean</t>
  </si>
  <si>
    <t xml:space="preserve">Represents a communication interface capable of receiving and transmitting messages defined by interface-specific Instruction Media. Each interface will have a number of registered participants who communicate over the interface using agreed media.</t>
  </si>
  <si>
    <t xml:space="preserve">InterfaceType</t>
  </si>
  <si>
    <t xml:space="preserve">PartyPartyIdent</t>
  </si>
  <si>
    <t xml:space="preserve">An association table between Party and instances of a Party's identification identified in messaging</t>
  </si>
  <si>
    <t xml:space="preserve">PartyPartyIdentID</t>
  </si>
  <si>
    <t xml:space="preserve">PartyIdentificationHasIdentificationInstance</t>
  </si>
  <si>
    <t xml:space="preserve">Identification</t>
  </si>
  <si>
    <t xml:space="preserve">PartyIdentifier</t>
  </si>
  <si>
    <t xml:space="preserve">FK-Party</t>
  </si>
  <si>
    <t xml:space="preserve">PartyIdentificationHasParty</t>
  </si>
  <si>
    <t xml:space="preserve">An internally curated reference to a legal entity capable of performing a role within a range of contexts.</t>
  </si>
  <si>
    <t xml:space="preserve">PaymentPartyRole</t>
  </si>
  <si>
    <t xml:space="preserve">Payment Party Role</t>
  </si>
  <si>
    <t xml:space="preserve">An association between party and role, defining which parties are performing which roles within the processing of a payment from an objective perspective.</t>
  </si>
  <si>
    <t xml:space="preserve">PaymentPartyRoleID</t>
  </si>
  <si>
    <t xml:space="preserve">The payment that this association is applicable to.</t>
  </si>
  <si>
    <t xml:space="preserve">PaymentPartyRoleHasInstruction</t>
  </si>
  <si>
    <t xml:space="preserve">Link to the payment for which this party role association is applicable</t>
  </si>
  <si>
    <t xml:space="preserve">The party identification information specified to identify the party.</t>
  </si>
  <si>
    <t xml:space="preserve">PaymentPartyRoleHasIdentification</t>
  </si>
  <si>
    <t xml:space="preserve">PaymentRole</t>
  </si>
  <si>
    <t xml:space="preserve">The payment role that the party performs within this association. </t>
  </si>
  <si>
    <t xml:space="preserve">PartyRoleAccountID</t>
  </si>
  <si>
    <t xml:space="preserve">The (optional) payment account associated with this payment party role.</t>
  </si>
  <si>
    <t xml:space="preserve">FK-PartyRoleAccount</t>
  </si>
  <si>
    <t xml:space="preserve">PaymentPartyRoleHasAccount</t>
  </si>
  <si>
    <t xml:space="preserve">PaymentPartyRoleAccount</t>
  </si>
  <si>
    <t xml:space="preserve">An account referenced in the payment instruction in context of an account holder and servicer relationship.</t>
  </si>
  <si>
    <t xml:space="preserve">PartyRoleAccount</t>
  </si>
  <si>
    <t xml:space="preserve">Identifying information assocaited to an account referenced as belonging to a Party.</t>
  </si>
  <si>
    <t xml:space="preserve">AccountHoldingParty</t>
  </si>
  <si>
    <t xml:space="preserve">The party who owns this account, to whom the moneys and liabilities are due</t>
  </si>
  <si>
    <t xml:space="preserve">FK-PartyIdentification-AccountHolding</t>
  </si>
  <si>
    <t xml:space="preserve">PartyRoleAccountHasAccountHolder</t>
  </si>
  <si>
    <t xml:space="preserve">AccountHolder</t>
  </si>
  <si>
    <t xml:space="preserve">AccountServicingParty</t>
  </si>
  <si>
    <t xml:space="preserve">The party who services this account on behalf of the Account Holder</t>
  </si>
  <si>
    <t xml:space="preserve">FK-PartyIdentification-AccountServicing</t>
  </si>
  <si>
    <t xml:space="preserve">PartyRoleAccountHasAccountServicer</t>
  </si>
  <si>
    <t xml:space="preserve">AccountServicer</t>
  </si>
  <si>
    <t xml:space="preserve">AccountIdentificationIBAN</t>
  </si>
  <si>
    <t xml:space="preserve">Identification of the account in IBAN format</t>
  </si>
  <si>
    <t xml:space="preserve">Need to flatten this down to ID, Scheme and Issuer to normalise IBAN and other forms of account Id - see PaymentIdentifier for pattern</t>
  </si>
  <si>
    <t xml:space="preserve">AccountOtherIdentification</t>
  </si>
  <si>
    <t xml:space="preserve">Unique identification of an account, as assigned by the account servicer, using an identification scheme</t>
  </si>
  <si>
    <t xml:space="preserve">AccountOtherIdentificationSchemeName</t>
  </si>
  <si>
    <t xml:space="preserve">AccountOtherIdentificationIssuer</t>
  </si>
  <si>
    <t xml:space="preserve">AccountType</t>
  </si>
  <si>
    <t xml:space="preserve">Specifies the nature, or use of the account.</t>
  </si>
  <si>
    <t xml:space="preserve">AccountCurrency</t>
  </si>
  <si>
    <t xml:space="preserve">currency in which the account is held</t>
  </si>
  <si>
    <t xml:space="preserve">AccountName</t>
  </si>
  <si>
    <t xml:space="preserve">Name of the account, as assigned by the account servicing institution, in agreement with the account owner in order to provide an additional means of identification of the account</t>
  </si>
  <si>
    <t xml:space="preserve">AccountProxyType</t>
  </si>
  <si>
    <t xml:space="preserve">Type of the proxy identification</t>
  </si>
  <si>
    <t xml:space="preserve">AccountProxyID</t>
  </si>
  <si>
    <t xml:space="preserve">Identification used to indicate the account identification under another specified name</t>
  </si>
  <si>
    <t xml:space="preserve">Client</t>
  </si>
  <si>
    <t xml:space="preserve">A party with whom the bank has a direct banking relationship.</t>
  </si>
  <si>
    <t xml:space="preserve">ClientIdentifier</t>
  </si>
  <si>
    <t xml:space="preserve">CashAccountClientRole</t>
  </si>
  <si>
    <t xml:space="preserve">Association table linking Clients to Cash Accounts via one or more Roles</t>
  </si>
  <si>
    <t xml:space="preserve">CashAccountRoleIdentifier</t>
  </si>
  <si>
    <t xml:space="preserve">CashAccountIdentifier</t>
  </si>
  <si>
    <t xml:space="preserve">Unique internal identifier for the cash account</t>
  </si>
  <si>
    <t xml:space="preserve">FK-CashAccount</t>
  </si>
  <si>
    <t xml:space="preserve">CashAccountClientRoleHasAccount</t>
  </si>
  <si>
    <t xml:space="preserve">Account</t>
  </si>
  <si>
    <t xml:space="preserve">CashAccount</t>
  </si>
  <si>
    <t xml:space="preserve">Unique internal identifier for a client with an association with the account. </t>
  </si>
  <si>
    <t xml:space="preserve">FK-Client</t>
  </si>
  <si>
    <t xml:space="preserve">CashAccountClientRoleHasClient</t>
  </si>
  <si>
    <t xml:space="preserve">CashAccountRole</t>
  </si>
  <si>
    <t xml:space="preserve">An appropriate Cash Account role to associate the Client with this Cash Account</t>
  </si>
  <si>
    <t xml:space="preserve">A cash account is a record of transactions in specific types of assets, maintained for the purpose of tracking bookings. Some cash accounts will have external Owners or Holders while other accounts can be regarded as Internal accounts for categorisation of balances and funds.</t>
  </si>
  <si>
    <t xml:space="preserve">AccountNumber</t>
  </si>
  <si>
    <t xml:space="preserve">Outwardly facing identifier for the account</t>
  </si>
  <si>
    <t xml:space="preserve">Currency</t>
  </si>
  <si>
    <t xml:space="preserve">The currency of the account.</t>
  </si>
  <si>
    <t xml:space="preserve">Booking</t>
  </si>
  <si>
    <t xml:space="preserve">An entity describing a group of offsetting CashEntries</t>
  </si>
  <si>
    <t xml:space="preserve">BookingIdentifier</t>
  </si>
  <si>
    <t xml:space="preserve">BookingDate</t>
  </si>
  <si>
    <t xml:space="preserve">The date on which the booking was posted</t>
  </si>
  <si>
    <t xml:space="preserve">UniqueInternalPaymentIdentifier</t>
  </si>
  <si>
    <t xml:space="preserve">An identifier that references a unique payment transaction recorded by the bank linking this booking to a specific payment transaction. </t>
  </si>
  <si>
    <t xml:space="preserve">FK-Payment</t>
  </si>
  <si>
    <t xml:space="preserve">BookingLinkedPayment</t>
  </si>
  <si>
    <t xml:space="preserve">LinkedPayment</t>
  </si>
  <si>
    <t xml:space="preserve">An identifier referencing an associated PaymentInstructionGroup, linking the booking to a group of payments.</t>
  </si>
  <si>
    <t xml:space="preserve">BookingLinkedGroup</t>
  </si>
  <si>
    <t xml:space="preserve">LinkedGroup</t>
  </si>
  <si>
    <t xml:space="preserve">BookingReference</t>
  </si>
  <si>
    <t xml:space="preserve">A reference by which the booking can be identified</t>
  </si>
  <si>
    <t xml:space="preserve">BookingSystem</t>
  </si>
  <si>
    <t xml:space="preserve">System code describing the system that made the booking</t>
  </si>
  <si>
    <t xml:space="preserve">PaymentBookingReference</t>
  </si>
  <si>
    <t xml:space="preserve">A reference used both by the internal payments system that can be used to connect all bookings associated with that payment. N.B. This reference ought to appear as one of the PaymentIdentification instances defined for a given Payment. </t>
  </si>
  <si>
    <t xml:space="preserve">PaymentBookingReferenceType</t>
  </si>
  <si>
    <t xml:space="preserve">A descriptor field used to classify the PaymentBookingReference</t>
  </si>
  <si>
    <t xml:space="preserve">The base currency of the booking</t>
  </si>
  <si>
    <t xml:space="preserve">ExchangerateUnitCurrency</t>
  </si>
  <si>
    <t xml:space="preserve">For cross-currency bookings (?) reference to the exchange currency</t>
  </si>
  <si>
    <t xml:space="preserve">ExchangeRate</t>
  </si>
  <si>
    <t xml:space="preserve">For cross-currency bookings (?) reference to the exchange currency rate</t>
  </si>
  <si>
    <t xml:space="preserve">Float</t>
  </si>
  <si>
    <t xml:space="preserve">ExchangeRateDate</t>
  </si>
  <si>
    <t xml:space="preserve">The date on which the exchange rate was fixed.</t>
  </si>
  <si>
    <t xml:space="preserve">CashEntry</t>
  </si>
  <si>
    <t xml:space="preserve">Posting of an item to a cash account, in the context of a cash transaction, that results in an increase or decrease to the balance of the account.</t>
  </si>
  <si>
    <t xml:space="preserve">CashEntryIdentifier</t>
  </si>
  <si>
    <t xml:space="preserve">CashEntryAccount</t>
  </si>
  <si>
    <t xml:space="preserve">EntryAccount</t>
  </si>
  <si>
    <t xml:space="preserve">Internal unique key for the booking (linking CR and DR entries posted offsetting one another) enabling a Cash Entry to be identified with its offset(s).</t>
  </si>
  <si>
    <t xml:space="preserve">FK-Booking</t>
  </si>
  <si>
    <t xml:space="preserve">CashEntryBooking</t>
  </si>
  <si>
    <t xml:space="preserve">EntryBooking</t>
  </si>
  <si>
    <t xml:space="preserve">DebitCreditMarker</t>
  </si>
  <si>
    <t xml:space="preserve">Signifier that the entry is a credit or debit entry on the account.</t>
  </si>
  <si>
    <t xml:space="preserve">Amount</t>
  </si>
  <si>
    <t xml:space="preserve">Amount of funds posted by the entry</t>
  </si>
  <si>
    <t xml:space="preserve">Decimal</t>
  </si>
  <si>
    <t xml:space="preserve">Currency describing the amount of the cash entry.</t>
  </si>
  <si>
    <t xml:space="preserve">EntrySystem</t>
  </si>
  <si>
    <t xml:space="preserve">System code describing the system that posted the entry</t>
  </si>
  <si>
    <t xml:space="preserve">EntryReference</t>
  </si>
  <si>
    <t xml:space="preserve">A reference by which the entry can be determined</t>
  </si>
  <si>
    <t xml:space="preserve">EntryDate</t>
  </si>
  <si>
    <t xml:space="preserve">The date on which the entry was posted</t>
  </si>
  <si>
    <t xml:space="preserve">ValueDate</t>
  </si>
  <si>
    <t xml:space="preserve">The date for which the entry will be applied for the calculation of interest</t>
  </si>
  <si>
    <t xml:space="preserve">Charges</t>
  </si>
  <si>
    <t xml:space="preserve">information on the charges to be paid by the charge bearer(s) related to the payment transaction.</t>
  </si>
  <si>
    <t xml:space="preserve">ChargesIdentifier</t>
  </si>
  <si>
    <t xml:space="preserve">Link to the "PaymenInstructiont" entity</t>
  </si>
  <si>
    <t xml:space="preserve">ChargesPaymentInstruction</t>
  </si>
  <si>
    <t xml:space="preserve">ChargePayment</t>
  </si>
  <si>
    <t xml:space="preserve">ChargeAmount</t>
  </si>
  <si>
    <t xml:space="preserve">Transaction charges to be paid by the charge bearer</t>
  </si>
  <si>
    <t xml:space="preserve">pacs.008.FIToFICstmrCdtTrf.ChrgsInf.Amt</t>
  </si>
  <si>
    <t xml:space="preserve">ChargeCurrency</t>
  </si>
  <si>
    <t xml:space="preserve">Currency of the ChargeAmount</t>
  </si>
  <si>
    <t xml:space="preserve">pacs.008.FIToFICstmrCdtTrf.ChrgsInf.Amt[Ccy]</t>
  </si>
  <si>
    <t xml:space="preserve">ChargingAgent</t>
  </si>
  <si>
    <t xml:space="preserve">Agent that takes the transaction charges or to which the transaction charges are due</t>
  </si>
  <si>
    <t xml:space="preserve">pacs.008.FIToFICstmrCdtTrf.ChrgsInf.Agt</t>
  </si>
  <si>
    <t xml:space="preserve">ChargesAgentIdentification</t>
  </si>
  <si>
    <t xml:space="preserve">ChargeAgent</t>
  </si>
  <si>
    <t xml:space="preserve">ChargeType</t>
  </si>
  <si>
    <t xml:space="preserve">type of charges. E.g COMM ( commission), CLEF ( Clearing Fee), CFEE (Cancellation fee) etc</t>
  </si>
  <si>
    <t xml:space="preserve">pacs.008.FIToFICstmrCdtTrf.ChrgsInf.Tp</t>
  </si>
  <si>
    <t xml:space="preserve">PaymentPartyRoleInstruction</t>
  </si>
  <si>
    <t xml:space="preserve">Additional Instructions relayed as part of a payment instruction for attention of agents. </t>
  </si>
  <si>
    <t xml:space="preserve">PaymentPartyRoleInstructionIdentifier</t>
  </si>
  <si>
    <t xml:space="preserve">FK-PaymentPartyRole</t>
  </si>
  <si>
    <t xml:space="preserve">PaymentPartyRoleInstructionPaymentPartyRole</t>
  </si>
  <si>
    <t xml:space="preserve">AssociatedPaymentPartyRole</t>
  </si>
  <si>
    <t xml:space="preserve">PaymentPartyRoleInstructionPaymentInstruction</t>
  </si>
  <si>
    <t xml:space="preserve">AssociatedPaymentInstruction</t>
  </si>
  <si>
    <t xml:space="preserve">InstructionCode</t>
  </si>
  <si>
    <t xml:space="preserve">InstructionInformation</t>
  </si>
  <si>
    <t xml:space="preserve">PaymentRegulatoryReporting</t>
  </si>
  <si>
    <t xml:space="preserve">Additional information associated with a Payment that relates to regulatory reporting</t>
  </si>
  <si>
    <t xml:space="preserve">PaymentRegulatoryReportingIdentifier</t>
  </si>
  <si>
    <t xml:space="preserve">Link to the "PaymentInstruction" entity</t>
  </si>
  <si>
    <t xml:space="preserve">PaymentRegulatoryReportingPaymentInstruction</t>
  </si>
  <si>
    <t xml:space="preserve">RegReportingAssociatedPayment</t>
  </si>
  <si>
    <t xml:space="preserve">RegulatoryReportingAuthorityName</t>
  </si>
  <si>
    <t xml:space="preserve">Name of the entity requiring the regulatory reporting information.</t>
  </si>
  <si>
    <t xml:space="preserve">pain.001.CstmrCdtTrfInitn.PmtInf.CdtTrfTxInf.RgltryRptg.Authrty.Nm OR
pacs.008.FIToFICstmrDrctDbt.DrctDbtTxInf.RgltryRptg.Authrty.Nm</t>
  </si>
  <si>
    <t xml:space="preserve">RegulatoryReportingAuthorityCountry</t>
  </si>
  <si>
    <t xml:space="preserve">Country of the entity that requires the regulatory reporting information
As per Danske requirement, for payments above a certain value , when transferring money( above a certain value) abroad from accounts held in Sweden and 
Norway, Danske has to send report to respective countries tax agency. Main details are the Reg Reporting Purpose Code + Add Information text</t>
  </si>
  <si>
    <t xml:space="preserve">pain.001.CstmrCdtTrfInitn.PmtInf.CdtTrfTxInf.RgltryRptg.Authrty.Ctry OR
pacs.008.FIToFICstmrDrctDbt.DrctDbtTxInf.RgltryRptg.Authrty.Ctry</t>
  </si>
  <si>
    <t xml:space="preserve">RegulatoryReportingDetailsCode</t>
  </si>
  <si>
    <t xml:space="preserve">Specifies the nature, purpose, and reason for the transaction to be reported for regulatory and statutory requirements in a coded form.
Danske requirement -
Sweden:Reporting to Skatteverket (Tax agency). 
For all transfers abroad from Sweden above SEK 150.000, or the equivalent, a report must be sent to Skatteverket, stating the purpose code.
Norway : For all transfers abroad from Norway above NOK 100.000, or the equivalent, a report must be sent to 
Valutaregisteret (Tax agency) , stating purpose of the payment (Information text) and a purpose code</t>
  </si>
  <si>
    <t xml:space="preserve">pain.001.CstmrCdtTrfInitn.PmtInf.CdtTrfTxInf.RgltryRptg.Dtls.Cd OR
pacs.008.FIToFICstmrDrctDbt.DrctDbtTxInf.RgltryRptg.Dtls.Cd</t>
  </si>
  <si>
    <t xml:space="preserve">RegulatoryReportingDetailsInf</t>
  </si>
  <si>
    <t xml:space="preserve">Additional details of the purpose of the payment</t>
  </si>
  <si>
    <t xml:space="preserve">pain.001.CstmrCdtTrfInitn.PmtInf.CdtTrfTxInf.RgltryRptg.Dtls.Inf OR
pacs.008.FIToFICstmrDrctDbt.DrctDbtTxInf.RgltryRptg.Dtls.Inf</t>
  </si>
  <si>
    <t xml:space="preserve">PaymentTax</t>
  </si>
  <si>
    <t xml:space="preserve">Additional information associated with a Payment that relates to tax</t>
  </si>
  <si>
    <t xml:space="preserve">PaymentTaxIdentifier</t>
  </si>
  <si>
    <t xml:space="preserve">To be discussed with Danske.
This information is only relevant between Debtor &amp; Creditor . Include only if there is a specific use case.
</t>
  </si>
  <si>
    <t xml:space="preserve">TaxPaymentInstruction</t>
  </si>
  <si>
    <t xml:space="preserve">TaxAssociatedPayment</t>
  </si>
  <si>
    <t xml:space="preserve">StructuredTaxData</t>
  </si>
  <si>
    <t xml:space="preserve">PaymentRemittance</t>
  </si>
  <si>
    <t xml:space="preserve">Additional information associated with a Payment that relates to remittance content</t>
  </si>
  <si>
    <t xml:space="preserve">RemittanceInformationIdentifier</t>
  </si>
  <si>
    <t xml:space="preserve">RemittancePaymentInstruction</t>
  </si>
  <si>
    <t xml:space="preserve">RemittanceAssociatedPayment</t>
  </si>
  <si>
    <t xml:space="preserve">RemittanceData</t>
  </si>
  <si>
    <t xml:space="preserve">A raw "block" of remittance content. Where different formats exist, see additional RemittanceContentType field to provide processing hints and to signal whether this Remittance data is directly attributed to the linked PaymentInstruction, or (for some Cover payment scenarios) is representative of an "underlying" PaymentInstruction.
</t>
  </si>
  <si>
    <t xml:space="preserve">RemittanceContentType</t>
  </si>
  <si>
    <t xml:space="preserve">A field used to describe the context of the RemittanceData provided (may be a combination of format and direct/underlying. 
</t>
  </si>
  <si>
    <t xml:space="preserve">ReturnReasonInformation</t>
  </si>
  <si>
    <t xml:space="preserve">Provides detailed information on the return reason</t>
  </si>
  <si>
    <t xml:space="preserve">ReturnReasonIdentifier</t>
  </si>
  <si>
    <t xml:space="preserve">The identifier of the payment instruction (pacs004) from which this ReturnReason was sourced</t>
  </si>
  <si>
    <t xml:space="preserve">ReturnReasonPaymentInstruction</t>
  </si>
  <si>
    <t xml:space="preserve">ReturnReasonInstruction</t>
  </si>
  <si>
    <t xml:space="preserve">Originator Party of the return</t>
  </si>
  <si>
    <t xml:space="preserve">PaymentInstructionPartyIdentification</t>
  </si>
  <si>
    <t xml:space="preserve">ReturningParty</t>
  </si>
  <si>
    <t xml:space="preserve">ReturnReason</t>
  </si>
  <si>
    <t xml:space="preserve">Reason for the return</t>
  </si>
  <si>
    <t xml:space="preserve">pacs.004.PmtRtr.TxInf.RtrRsnInf.Rsn.Cd</t>
  </si>
  <si>
    <t xml:space="preserve">AdditionalInformation</t>
  </si>
  <si>
    <t xml:space="preserve">Further details on the return reason</t>
  </si>
  <si>
    <t xml:space="preserve">pacs.004.PmtRtr.TxInf.RtrRsnInf.AddtlInf</t>
  </si>
  <si>
    <t xml:space="preserve">Payment information and processes required to transfer cash end to end from a debtor to the creditor.</t>
  </si>
  <si>
    <t xml:space="preserve">Unique Internal Payment Identifier</t>
  </si>
  <si>
    <t xml:space="preserve">The identifier that links to the payment that this instruction references</t>
  </si>
  <si>
    <t xml:space="preserve">PaymentInstructionAssociatedPayment</t>
  </si>
  <si>
    <t xml:space="preserve">AssociatedPayment</t>
  </si>
  <si>
    <t xml:space="preserve">The payment that this instruction is associated with.</t>
  </si>
  <si>
    <t xml:space="preserve">A reference to the payment instruction group within which this payment was initiated.</t>
  </si>
  <si>
    <t xml:space="preserve">PaymentInstructionPartOfGroup</t>
  </si>
  <si>
    <t xml:space="preserve">PartOfGroup</t>
  </si>
  <si>
    <t xml:space="preserve">Reference to the group that this payment is a part of</t>
  </si>
  <si>
    <t xml:space="preserve">InstructionIdentifier</t>
  </si>
  <si>
    <t xml:space="preserve">point to point reference that can be used between the
instructing party and the instructed party to refer to the individual instruction</t>
  </si>
  <si>
    <t xml:space="preserve">pacs.008.FIToFICstmrCdtTrf.CdtTrfTxInf.PmtId.InstrId</t>
  </si>
  <si>
    <t xml:space="preserve">EndToEndIdentifier</t>
  </si>
  <si>
    <t xml:space="preserve">Unique identification assigned by the initiating party to unambiguously identify the
transaction. This identification is passed on, unchanged, throughout the entire end-to-end chain</t>
  </si>
  <si>
    <t xml:space="preserve">pacs.008.FIToFICstmrCdtTrf.CdtTrfTxInf.PmtId.EndToEndId</t>
  </si>
  <si>
    <t xml:space="preserve">TransactionIdentifier</t>
  </si>
  <si>
    <t xml:space="preserve">Unique identification, as assigned by the first instructing agent, to unambiguously identify the
transaction that is passed on, unchanged, throughout the entire interbank chain.
Usage: The transaction identification can be used for reconciliation, tracking or to link tasks relating to
the transaction on the interbank level</t>
  </si>
  <si>
    <t xml:space="preserve">pacs.008.FIToFICstmrCdtTrf.CdtTrfTxInf.PmtId.TxId</t>
  </si>
  <si>
    <t xml:space="preserve">UETR</t>
  </si>
  <si>
    <t xml:space="preserve">Universally unique identifier to provide an end-to-end reference of a payment transaction. Will be passed unchanged thoughout the entire end-to-end chain</t>
  </si>
  <si>
    <t xml:space="preserve">pacs.008.FIToFICstmrCdtTrf.CdtTrfTxInf.PmtId.UETR</t>
  </si>
  <si>
    <t xml:space="preserve">ClearingSystemReference</t>
  </si>
  <si>
    <t xml:space="preserve">Unique reference, as assigned by a clearing system, to unambiguously identify the
instruction</t>
  </si>
  <si>
    <t xml:space="preserve">pacs.008.FIToFICstmrCdtTrf.CdtTrfTxInf.PmtId.ClrSysRef</t>
  </si>
  <si>
    <t xml:space="preserve">PaymentMethod</t>
  </si>
  <si>
    <t xml:space="preserve">Specifies the means that will be used to move the amount of money. Possible values - TRF (Credit Transfer), CHK (Cheque), DD (Direct Debit)</t>
  </si>
  <si>
    <t xml:space="preserve">InstructionPriority</t>
  </si>
  <si>
    <t xml:space="preserve">Indicator of the urgency or order of importance that the instructing party would like the
instructed party to apply to the processing of the instruction. HIGH/NORMAL
In pain messages, Danske only accept NORM. If HIGH code sent, its ignored &lt;could potentially be different in incoming &amp; in outgoing instruction&gt;</t>
  </si>
  <si>
    <t xml:space="preserve">pacs.008.FIToFICstmrCdtTrf.CdtTrfTxInf.PmtTpInf.InstrPrty</t>
  </si>
  <si>
    <t xml:space="preserve">ClearingChannelCode</t>
  </si>
  <si>
    <t xml:space="preserve">Specifies the clearing channel to be used to process the payment instruction. Values - RTGS, BOOK,RTNS,MPNS</t>
  </si>
  <si>
    <t xml:space="preserve">pacs.008.FIToFICstmrCdtTrf.CdtTrfTxInf.PmtTpInf.ClrChanl</t>
  </si>
  <si>
    <t xml:space="preserve">ServiceLevel</t>
  </si>
  <si>
    <t xml:space="preserve">Agreement under which or rules under which the transaction should be processed. E.g URGP ( urgent - processed as RTGS), SDVA ( Same day) etc</t>
  </si>
  <si>
    <t xml:space="preserve">pacs.008.FIToFICstmrCdtTrf.CdtTrfTxInf.PmtTpInf.SvcLvl</t>
  </si>
  <si>
    <t xml:space="preserve">LocalInstrument</t>
  </si>
  <si>
    <t xml:space="preserve">local instrument, local clearing option and/or further qualify the service or service level. e.g INST - used for SEPA Instant </t>
  </si>
  <si>
    <t xml:space="preserve">pacs.008.FIToFICstmrCdtTrf.CdtTrfTxInf.PmtTpInf.LclInstrm</t>
  </si>
  <si>
    <t xml:space="preserve">DDSequenceTypeCode</t>
  </si>
  <si>
    <t xml:space="preserve">Identifies the direct debit sequence, such as FRST( first), RCUR(recurrent), FNAL(final) , OOFF(one-off)</t>
  </si>
  <si>
    <t xml:space="preserve">pain.008.CstmrDrctDbtInitn.PmtInf.DrctDbtTxInf.PmtTpInf.SeqTp</t>
  </si>
  <si>
    <t xml:space="preserve">CategoryPurpose</t>
  </si>
  <si>
    <t xml:space="preserve">high level purpose of the instruction. This is used by the 
initiating party to provide information concerning the 
processing of the payment. It is likely to trigger special 
processing by any of the agents involved in the 
payment chaine.g "SALA" salary payments,"PENS"-pension,"TAXS"-tax, "CONF" – Identifies  confidential payments etc</t>
  </si>
  <si>
    <t xml:space="preserve">pacs.008.FIToFICstmrCdtTrf.CdtTrfTxInf.PmtTpInf.CtgyPurp</t>
  </si>
  <si>
    <t xml:space="preserve">Purpose</t>
  </si>
  <si>
    <t xml:space="preserve">Purpose is used by the end-customers, that is initiating party, (ultimate) debtor, (ultimate)
creditor to provide information concerning the nature of the payment. Purpose is a content element,
which is not used for processing by any of the agents involved in the payment chain. Conditional based on country rules; may also be bank determined</t>
  </si>
  <si>
    <t xml:space="preserve">pacs.008.FIToFICstmrCdtTrf.CdtTrfTxInf.Purp</t>
  </si>
  <si>
    <t xml:space="preserve">SettlementMethod</t>
  </si>
  <si>
    <t xml:space="preserve">method used to settle the credit transfer instruction.
CLRG - Clearing system, 
COVE - Cover method
INDA - Instructed Agent
INGA - Instructing Agent
&lt;for payments cleared within danske (On-us) or payments where Danske is final agent in the chain ( Creditor/DebtorAgent), then we may have to use a separate code indicating "Internal Book Transfer"</t>
  </si>
  <si>
    <t xml:space="preserve">pacs.008.FIToFICstmrCdtTrf.GrpHdr.SttlmInf.SttlmMtd</t>
  </si>
  <si>
    <t xml:space="preserve">ClearingSystem</t>
  </si>
  <si>
    <t xml:space="preserve">SettlementClearingSystem</t>
  </si>
  <si>
    <t xml:space="preserve">Specification of a pre-agreed offering between clearing agents or the channel through which the payment instruction is processed.
E.g for SEPA CT - "ST2"
for CHAPS - "STG", for T2 - "TGT"</t>
  </si>
  <si>
    <t xml:space="preserve">pacs.008.FIToFICstmrCdtTrf.GrpHdr.SttlmInf.ClrSys</t>
  </si>
  <si>
    <t xml:space="preserve">RequestedExecutionDate</t>
  </si>
  <si>
    <t xml:space="preserve">Date at which the initiating party requests the clearing agent to process the payment.
This is the date on which the debtor's account is to be debited. If payment by cheque, the date
when the cheque must be generated by the bank</t>
  </si>
  <si>
    <t xml:space="preserve">pain.001.CstmrCdtTrfInitn.PmtInf.ReqdExctnDt</t>
  </si>
  <si>
    <t xml:space="preserve">BatchBookingFlag</t>
  </si>
  <si>
    <t xml:space="preserve">Identifies whether a single entry per individual transaction or a batch entry for the sum of the
amounts of all transactions within the group of a message is requested</t>
  </si>
  <si>
    <t xml:space="preserve">pacs.008.FIToFICstmrCdtTrf.GrpHdr.BtchBookg / pain.001.CstmrCdtTrfInitn.PmtInf.BtchBookg</t>
  </si>
  <si>
    <t xml:space="preserve">SettlementAmount</t>
  </si>
  <si>
    <t xml:space="preserve">Amount of money moved between the instructing agent and the instructed agent.
&lt;For Onus payments, this is the amount of money moved between debtor &amp; credtior within the bank&gt;</t>
  </si>
  <si>
    <t xml:space="preserve">pacs.008.FIToFICstmrCdtTrf.IntrBkSttlmAmt</t>
  </si>
  <si>
    <t xml:space="preserve">SettlementAmountCurrency</t>
  </si>
  <si>
    <t xml:space="preserve">Currency of the SettlementAmount</t>
  </si>
  <si>
    <t xml:space="preserve">SettlementDate</t>
  </si>
  <si>
    <t xml:space="preserve">Date of settlement (when the money is transferred between the agents)</t>
  </si>
  <si>
    <t xml:space="preserve">pacs.008.FIToFICstmrCdtTrf.IntrBkSttlmDt</t>
  </si>
  <si>
    <t xml:space="preserve">SettlementPriority</t>
  </si>
  <si>
    <t xml:space="preserve">Indicator of the urgency or order of importance that the instructing party would like the instructed party to apply to the processing of the settlement instruction.
Values HIGH, NORMAL, URGENT</t>
  </si>
  <si>
    <t xml:space="preserve">pacs.008.FIToFICstmrCdtTrf.SttlmPrty</t>
  </si>
  <si>
    <t xml:space="preserve">SettlementDateTimeDebit</t>
  </si>
  <si>
    <t xml:space="preserve">Date and time at which a payment has been debited at the clearing agent</t>
  </si>
  <si>
    <t xml:space="preserve">pacs.008.FIToFICstmrCdtTrf.SttlmTmIndctn.DbtDtTm</t>
  </si>
  <si>
    <t xml:space="preserve">SettlementDateTimeCredit</t>
  </si>
  <si>
    <t xml:space="preserve">Date and time at which a payment has been credited at the clearing agent</t>
  </si>
  <si>
    <t xml:space="preserve">pacs.008.FIToFICstmrCdtTrf.SttlmTmIndctn.CdtDtTm</t>
  </si>
  <si>
    <t xml:space="preserve">SettlementTimeRequest</t>
  </si>
  <si>
    <t xml:space="preserve">information on the requested settlement time(s) of the payment instruction
&lt;Can have multiple rows - From Time, Till Time, Reject Time etc. 
Suggestion - Remove this attribute from the Payment Entity as the "SettlementTimeRequest" isnt significant for Danske PDP&gt;</t>
  </si>
  <si>
    <t xml:space="preserve">pacs.008.FIToFICstmrCdtTrf.SttlmTmReq</t>
  </si>
  <si>
    <t xml:space="preserve">AcceptanceDateTime</t>
  </si>
  <si>
    <t xml:space="preserve">Specifically used in Instant Payments. Indicates the exact time at which the Originator PSP(e.g DebtorAgent has accepted the instant credit transfer instruction from the Originator(Debtor). This is passed onto the clearing system &amp; for Instant payment systems this value is used to check against the SLA for completing the payment</t>
  </si>
  <si>
    <t xml:space="preserve">pacs.008.FIToFICstmrCdtTrf.AccptncDtTm</t>
  </si>
  <si>
    <t xml:space="preserve">PoolingAdjustmentDate</t>
  </si>
  <si>
    <t xml:space="preserve">Date used for the correction of the value date of a cash pool movement that has been posted with a different value date.
&lt;Though present in ISO20022, this field isnt used in Swift correspondent banking + most known clearing systems&gt;</t>
  </si>
  <si>
    <t xml:space="preserve">pacs.008.FIToFICstmrCdtTrf.PoolgAdjstmntDt</t>
  </si>
  <si>
    <t xml:space="preserve">InstructedAmount</t>
  </si>
  <si>
    <t xml:space="preserve">Amount of money to be moved between the debtor and creditor, before deduction of
charges, expressed in the currency of transfer as ordered by the initiating party. E.g 100 USD ( the debtor account may be in different currency to USD though)</t>
  </si>
  <si>
    <t xml:space="preserve">pacs.008.FIToFICstmrCdtTrf.InstdAmt</t>
  </si>
  <si>
    <t xml:space="preserve">InstructedAmountCurrency</t>
  </si>
  <si>
    <t xml:space="preserve">Currency of the InstructedAmount.
If EquivalentAmount is provided instead, then this is the "Currency of Transfer"</t>
  </si>
  <si>
    <t xml:space="preserve">pacs.008.FIToFICstmrCdtTrf.InstdAmt[Ccy]</t>
  </si>
  <si>
    <t xml:space="preserve">EquivalentAmount</t>
  </si>
  <si>
    <t xml:space="preserve">Amount of money to be moved between the debtor and creditor, expressed in the currency of
the debtor's account, and the currency in which the amount is to be moved. E.g 100 DKK to be transferred in USD . DKK is debtor account currency and USD is transfer currency</t>
  </si>
  <si>
    <t xml:space="preserve">EquivalentAmountCurrency</t>
  </si>
  <si>
    <t xml:space="preserve">Currency of the EquivalentAmount e.g DKK</t>
  </si>
  <si>
    <t xml:space="preserve">Currency in which the rate of exchange is expressed in a currency exchange. In the example
1GBP = xxxDKK, the unit currency is GBP</t>
  </si>
  <si>
    <t xml:space="preserve">pacs.008.FIToFICstmrCdtTrf.XchgRate</t>
  </si>
  <si>
    <t xml:space="preserve">The factor used for conversion of an amount 
from one currency to another</t>
  </si>
  <si>
    <t xml:space="preserve">ExchangeRateType</t>
  </si>
  <si>
    <t xml:space="preserve">Type used to complete the currency exchange. SPOT, AGRD (agreed),SALE</t>
  </si>
  <si>
    <t xml:space="preserve">ExchangeRateContractIdentification</t>
  </si>
  <si>
    <t xml:space="preserve">If Exchange Rate Type is AGRD, then Unique and unambiguous reference to the foreign exchange contract agreed between the initiating party/creditor and the debtor agent</t>
  </si>
  <si>
    <t xml:space="preserve">ChargeBearerCode</t>
  </si>
  <si>
    <t xml:space="preserve">Specifies which party/parties will bear the charges associated with the processing of the payment transaction. 
CRED (Creditor) &lt;equivalent of BEN&gt;
DEBT (Debtor) &lt;equivalent of OUR&gt;
SHAR (Shared) &lt;equivalent of SHA&gt;</t>
  </si>
  <si>
    <t xml:space="preserve">pacs.008.FIToFICstmrCdtTrf.ChrgBr</t>
  </si>
  <si>
    <t xml:space="preserve">DDPreNtfctnId</t>
  </si>
  <si>
    <t xml:space="preserve">Unique and unambiguous identification of the pre-notification which is sent separately from the direct debit instruction. The direct debit pre-notification is used to reconcile separately sent collection information with the direct debit transaction information</t>
  </si>
  <si>
    <t xml:space="preserve">pain.008.CstmrDrctDbtInitn.PmtInf.DrctDbtTxInf.DrctDbtTx.PreNtfctnId</t>
  </si>
  <si>
    <t xml:space="preserve">DDPreNtfctnDt</t>
  </si>
  <si>
    <t xml:space="preserve">Date on which the creditor notifies the debtor about the amount and date on which the direct
debit instruction will be presented to the debtor's agent</t>
  </si>
  <si>
    <t xml:space="preserve">pain.008.CstmrDrctDbtInitn.PmtInf.DrctDbtTxInf.DrctDbtTx.PreNtfctnDt</t>
  </si>
  <si>
    <t xml:space="preserve">ReturnPaymentIdentification</t>
  </si>
  <si>
    <t xml:space="preserve">Unique identification, as assigned by an instructing party for an instructed party, to unambiguously identify the returned transaction</t>
  </si>
  <si>
    <t xml:space="preserve">pacs.002.FIToFIPmtStsRpt.TxInfAndSts.StsRsnInf.AddtlInf</t>
  </si>
  <si>
    <t xml:space="preserve">MandateIdentifier</t>
  </si>
  <si>
    <t xml:space="preserve">A reference used to identify a Mandate</t>
  </si>
  <si>
    <t xml:space="preserve">MandateType</t>
  </si>
  <si>
    <t xml:space="preserve">The subtype of Mandate being referred to.</t>
  </si>
  <si>
    <t xml:space="preserve">Underlying_InstructedAmount</t>
  </si>
  <si>
    <t xml:space="preserve">UnderlyingInstructedAmount</t>
  </si>
  <si>
    <t xml:space="preserve">The underlying amount quoted in a COV payment's associated direct message.</t>
  </si>
  <si>
    <t xml:space="preserve">Unerlying_InstructedAmountCurrency</t>
  </si>
  <si>
    <t xml:space="preserve">UnerlyingInstructedAmountCurrency</t>
  </si>
  <si>
    <t xml:space="preserve">The underlying amount currency quoted in a COV payment's associated direct message.</t>
  </si>
  <si>
    <t xml:space="preserve">PaymentPartOfGroup</t>
  </si>
  <si>
    <t xml:space="preserve">Identifies whether this payment is part of a batch booking group.</t>
  </si>
  <si>
    <t xml:space="preserve">PaymentDate</t>
  </si>
  <si>
    <t xml:space="preserve">Date of settlement (when the money is transferred between accounts)</t>
  </si>
  <si>
    <t xml:space="preserve">ImmediateDebtorClientId</t>
  </si>
  <si>
    <t xml:space="preserve">FK-Client-Debtor</t>
  </si>
  <si>
    <t xml:space="preserve">PaymentImmediateDebtorClientId</t>
  </si>
  <si>
    <t xml:space="preserve">ImmediateDebtorCashAccountId</t>
  </si>
  <si>
    <t xml:space="preserve">FK-CashAccount-Debtor</t>
  </si>
  <si>
    <t xml:space="preserve">PaymentImmediateDebtorCashAccountId</t>
  </si>
  <si>
    <t xml:space="preserve">ImmediateCreditorClientId</t>
  </si>
  <si>
    <t xml:space="preserve">FK-Client-Creditor</t>
  </si>
  <si>
    <t xml:space="preserve">PaymentImmediateCreditorClientId</t>
  </si>
  <si>
    <t xml:space="preserve">ImmediateCreditorCashAccountId</t>
  </si>
  <si>
    <t xml:space="preserve">FK-CashAccount-Creditor</t>
  </si>
  <si>
    <t xml:space="preserve">PaymentImmediateCreditorCashAccountId</t>
  </si>
  <si>
    <t xml:space="preserve">InitiatingInterfaceID</t>
  </si>
  <si>
    <t xml:space="preserve">Proprietary</t>
  </si>
  <si>
    <t xml:space="preserve">FK-Interface-Initiating</t>
  </si>
  <si>
    <t xml:space="preserve">PaymentInitiatingInterface</t>
  </si>
  <si>
    <t xml:space="preserve">InitiatingInterface</t>
  </si>
  <si>
    <t xml:space="preserve">InboundInterfaceID</t>
  </si>
  <si>
    <t xml:space="preserve">FK-Interface-Inbound</t>
  </si>
  <si>
    <t xml:space="preserve">PaymentInboundInterface</t>
  </si>
  <si>
    <t xml:space="preserve">InboundInterface</t>
  </si>
  <si>
    <t xml:space="preserve">OutboundInterfaceID</t>
  </si>
  <si>
    <t xml:space="preserve">FK-Interface-Outbound</t>
  </si>
  <si>
    <t xml:space="preserve">PaymentOutboundInterface</t>
  </si>
  <si>
    <t xml:space="preserve">OutboundInterface</t>
  </si>
  <si>
    <t xml:space="preserve">PaymentStatus</t>
  </si>
  <si>
    <t xml:space="preserve">Specifies the status of a transaction, in a coded form.</t>
  </si>
  <si>
    <t xml:space="preserve">pacs.002.FIToFIPmtStsRpt.TxInfAndSts.TxSts</t>
  </si>
  <si>
    <t xml:space="preserve">PaymentStatusReason</t>
  </si>
  <si>
    <t xml:space="preserve">Reason for the status. Populated in case of RJCT with the rejection reason - normally as Code</t>
  </si>
  <si>
    <t xml:space="preserve">pacs.002.FIToFIPmtStsRpt.TxInfAndSts.StsRsnInf.Rsn.Cd</t>
  </si>
  <si>
    <t xml:space="preserve">PaymentStatusReasonInf</t>
  </si>
  <si>
    <t xml:space="preserve">Further details on the status reason.</t>
  </si>
  <si>
    <t xml:space="preserve">PaymentIdentification</t>
  </si>
  <si>
    <t xml:space="preserve">Specifies the different identifications associated with a payment transaction.</t>
  </si>
  <si>
    <t xml:space="preserve">PaymentIdentificationIdentifier</t>
  </si>
  <si>
    <t xml:space="preserve">IdentifyingReferenceType</t>
  </si>
  <si>
    <t xml:space="preserve">The type of reference this identifier follows</t>
  </si>
  <si>
    <t xml:space="preserve">IdentifyingReferenceValue</t>
  </si>
  <si>
    <t xml:space="preserve">The value of the identifying reference</t>
  </si>
  <si>
    <t xml:space="preserve">The payment to which this reference has been attributed</t>
  </si>
  <si>
    <t xml:space="preserve">PaymentIdentificationAttributedToPayment</t>
  </si>
  <si>
    <t xml:space="preserve">AttributedToPayment</t>
  </si>
  <si>
    <t xml:space="preserve">PaymentBooking</t>
  </si>
  <si>
    <t xml:space="preserve">Association Table between Payment and Booking</t>
  </si>
  <si>
    <t xml:space="preserve">PaymentBookingIdentifier</t>
  </si>
  <si>
    <t xml:space="preserve">The associated Booking</t>
  </si>
  <si>
    <t xml:space="preserve">PBLinkedBooking</t>
  </si>
  <si>
    <t xml:space="preserve">AssociatedBooking</t>
  </si>
  <si>
    <t xml:space="preserve">The associated Payment</t>
  </si>
  <si>
    <t xml:space="preserve">PBLinkedPayment</t>
  </si>
  <si>
    <t xml:space="preserve">ClientParty</t>
  </si>
  <si>
    <t xml:space="preserve">AssociationTable between Client and Party</t>
  </si>
  <si>
    <t xml:space="preserve">ClientPartyIdentifier</t>
  </si>
  <si>
    <t xml:space="preserve">ClientPartyLinkedClient</t>
  </si>
  <si>
    <t xml:space="preserve">LinkedClient</t>
  </si>
  <si>
    <t xml:space="preserve">ClientPartyLinkedParty</t>
  </si>
  <si>
    <t xml:space="preserve">LinkedParty</t>
  </si>
  <si>
    <t xml:space="preserve">PaymentInvestigationCase</t>
  </si>
  <si>
    <t xml:space="preserve">Payment Investigation Case</t>
  </si>
  <si>
    <t xml:space="preserve">Set of activities performed to handle an exception to a normal payment transaction flow, such as: - a payment has not been received. - a payment has been received but is incorrect. - a payment must be corrected or cancelled (requested by the party which ordered the payment).
An investigation case raised against a specific payment or collection of payments. Investigation types might include request for update, or to oversee the process of requesting and performing cancellations. </t>
  </si>
  <si>
    <t xml:space="preserve">DataTypes</t>
  </si>
  <si>
    <t xml:space="preserve">Data Type</t>
  </si>
  <si>
    <t xml:space="preserve">Description</t>
  </si>
  <si>
    <t xml:space="preserve">An internal database identifier, generally used only to link associated rows between tables.</t>
  </si>
  <si>
    <t xml:space="preserve">An integer value numeric</t>
  </si>
  <si>
    <t xml:space="preserve">Numeric</t>
  </si>
  <si>
    <t xml:space="preserve">Decimal Numeric (fixed decimal point)</t>
  </si>
  <si>
    <t xml:space="preserve">A true/false Value</t>
  </si>
  <si>
    <t xml:space="preserve">Include</t>
  </si>
  <si>
    <t xml:space="preserve">Class</t>
  </si>
  <si>
    <t xml:space="preserve">Instance</t>
  </si>
  <si>
    <t xml:space="preserve">InstanceGroup</t>
  </si>
  <si>
    <t xml:space="preserve">References</t>
  </si>
  <si>
    <t xml:space="preserve">M/O</t>
  </si>
  <si>
    <t xml:space="preserve">Notes</t>
  </si>
  <si>
    <t xml:space="preserve">Literal Values</t>
  </si>
  <si>
    <t xml:space="preserve">Inbound</t>
  </si>
  <si>
    <t xml:space="preserve">Outbound</t>
  </si>
  <si>
    <t xml:space="preserve">Initiating</t>
  </si>
  <si>
    <t xml:space="preserve">Consider removing?</t>
  </si>
  <si>
    <t xml:space="preserve">InboundMessageSenderPostalAddress</t>
  </si>
  <si>
    <t xml:space="preserve">InboundMessageSender</t>
  </si>
  <si>
    <t xml:space="preserve">O</t>
  </si>
  <si>
    <t xml:space="preserve">Optional</t>
  </si>
  <si>
    <t xml:space="preserve">InboundMessageSenderPartyIdentification</t>
  </si>
  <si>
    <t xml:space="preserve">InboundMessageReceiverPostalAddress</t>
  </si>
  <si>
    <t xml:space="preserve">InboundMessageReceiver</t>
  </si>
  <si>
    <t xml:space="preserve">Need to add MessageReceiver to PaymentMessage object</t>
  </si>
  <si>
    <t xml:space="preserve">InboundMessageReceiverPartyIdentification</t>
  </si>
  <si>
    <t xml:space="preserve">OutboundMessageSenderPostalAddress</t>
  </si>
  <si>
    <t xml:space="preserve">OutboundMessageSender</t>
  </si>
  <si>
    <t xml:space="preserve">OutboundMessageSenderPartyIdentification</t>
  </si>
  <si>
    <t xml:space="preserve">OutboundMessageReceiverPostalAddress</t>
  </si>
  <si>
    <t xml:space="preserve">OutboundMessageReceiver</t>
  </si>
  <si>
    <t xml:space="preserve">OutboundMessageReceiverPartyIdentification</t>
  </si>
  <si>
    <t xml:space="preserve">InboundPaymentMessage</t>
  </si>
  <si>
    <t xml:space="preserve">InboundMessageSenderPartyIdentification, InboundMessageReceiverPartyIdentification, InboundInterface</t>
  </si>
  <si>
    <t xml:space="preserve">IPM</t>
  </si>
  <si>
    <t xml:space="preserve">OutboundPaymentMessage</t>
  </si>
  <si>
    <t xml:space="preserve">OutboundMessageSenderPartyIdentification, OutboundMessageReceiverPartyIdentification, OutboundInterface</t>
  </si>
  <si>
    <t xml:space="preserve">InboundPaymentInstructionGroup</t>
  </si>
  <si>
    <t xml:space="preserve">ImmediateDebtor</t>
  </si>
  <si>
    <t xml:space="preserve">Immediate</t>
  </si>
  <si>
    <t xml:space="preserve">ImmediateDebtorCashAccount</t>
  </si>
  <si>
    <t xml:space="preserve">ImmediateCreditor</t>
  </si>
  <si>
    <t xml:space="preserve">ImmediateCreditorCashAccount</t>
  </si>
  <si>
    <t xml:space="preserve">InboundInterface, OutboundInterface, InboundPaymentInstructionGroup, ImmediateDebtor, ImmediateCreditor, ImmediateDebtorCashAccount, ImmediateCreditorCashAccount</t>
  </si>
  <si>
    <t xml:space="preserve">InboundPaymentInstruction</t>
  </si>
  <si>
    <t xml:space="preserve">Payment, InboundPaymentInstructionGroup, InboundInterface</t>
  </si>
  <si>
    <t xml:space="preserve">Elsewhere referenced as IPI</t>
  </si>
  <si>
    <t xml:space="preserve">OutboundPaymentInstruction</t>
  </si>
  <si>
    <t xml:space="preserve">Payment, OutboundInterface</t>
  </si>
  <si>
    <t xml:space="preserve">Elsewhere referenced as OPI</t>
  </si>
  <si>
    <t xml:space="preserve">These may not be a complete list, but demonstrate that a single payment may be known by, or associated with multiple payment identifiers. </t>
  </si>
  <si>
    <t xml:space="preserve">InternalSystemReference</t>
  </si>
  <si>
    <t xml:space="preserve">Payment, InboundPaymentInstructionGroup</t>
  </si>
  <si>
    <t xml:space="preserve">Multiple instances potentially, depending on booking practice</t>
  </si>
  <si>
    <t xml:space="preserve">Payment, Booking</t>
  </si>
  <si>
    <t xml:space="preserve">Booking, CashAccount</t>
  </si>
  <si>
    <t xml:space="preserve">IPIPaymentInstructiontPaymentMessage</t>
  </si>
  <si>
    <t xml:space="preserve">InboundPaymentInstruction, InboundPaymentMessage</t>
  </si>
  <si>
    <t xml:space="preserve">IPIPaymentRegulatoryReporting</t>
  </si>
  <si>
    <t xml:space="preserve">IPIPaymentTax</t>
  </si>
  <si>
    <t xml:space="preserve">IPIPaymentRemittance</t>
  </si>
  <si>
    <t xml:space="preserve">IPIReturningPartyPostalAddress</t>
  </si>
  <si>
    <t xml:space="preserve">IPIReturningParty</t>
  </si>
  <si>
    <t xml:space="preserve">IPIReturningPartyPartyIdentification</t>
  </si>
  <si>
    <t xml:space="preserve">IPIReturnReasonInformation</t>
  </si>
  <si>
    <t xml:space="preserve">IPIReturningPartyPartyIdentification, InboundPaymentInstruction</t>
  </si>
  <si>
    <t xml:space="preserve">IPICharges</t>
  </si>
  <si>
    <t xml:space="preserve">IPIChargesAgentPartyIdentification, InboundPaymentInstruction</t>
  </si>
  <si>
    <t xml:space="preserve">IPIDebtor</t>
  </si>
  <si>
    <t xml:space="preserve">Debtor</t>
  </si>
  <si>
    <t xml:space="preserve">IPICreditor</t>
  </si>
  <si>
    <t xml:space="preserve">Creditor</t>
  </si>
  <si>
    <t xml:space="preserve">IPIDebtorAgent</t>
  </si>
  <si>
    <t xml:space="preserve">DebtorAgent</t>
  </si>
  <si>
    <t xml:space="preserve">IPICreditorAgent</t>
  </si>
  <si>
    <t xml:space="preserve">CreditorAgent</t>
  </si>
  <si>
    <t xml:space="preserve">IPIInitiatingParty</t>
  </si>
  <si>
    <t xml:space="preserve">InitiatingParty</t>
  </si>
  <si>
    <t xml:space="preserve">IPIUltimateDebtor</t>
  </si>
  <si>
    <t xml:space="preserve">UltimateDebtor</t>
  </si>
  <si>
    <t xml:space="preserve">IPIUltimateCreditor</t>
  </si>
  <si>
    <t xml:space="preserve">UltimateCreditor</t>
  </si>
  <si>
    <t xml:space="preserve">IPIIntermediaryAgent1</t>
  </si>
  <si>
    <t xml:space="preserve">IntermediaryAgent1</t>
  </si>
  <si>
    <t xml:space="preserve">IPIIntermediaryAgent2</t>
  </si>
  <si>
    <t xml:space="preserve">IntermediaryAgent2</t>
  </si>
  <si>
    <t xml:space="preserve">IPIIntermediaryAgent3</t>
  </si>
  <si>
    <t xml:space="preserve">IntermediaryAgent3</t>
  </si>
  <si>
    <t xml:space="preserve">IPIInstructedAgent</t>
  </si>
  <si>
    <t xml:space="preserve">InstructedAgent</t>
  </si>
  <si>
    <t xml:space="preserve">IPIInstructingAgent</t>
  </si>
  <si>
    <t xml:space="preserve">InstructingAgent</t>
  </si>
  <si>
    <t xml:space="preserve">IPIPreviousInstructingAgent1</t>
  </si>
  <si>
    <t xml:space="preserve">PreviousInstructingAgent1</t>
  </si>
  <si>
    <t xml:space="preserve">IPIPreviousInstructingAgent2</t>
  </si>
  <si>
    <t xml:space="preserve">PreviousInstructingAgent2</t>
  </si>
  <si>
    <t xml:space="preserve">IPIPreviousInstructingAgent3</t>
  </si>
  <si>
    <t xml:space="preserve">PreviousInstructingAgent3</t>
  </si>
  <si>
    <t xml:space="preserve">IPIInstructingReimbursementAgent</t>
  </si>
  <si>
    <t xml:space="preserve">InstructingReimbursementAgent</t>
  </si>
  <si>
    <t xml:space="preserve">IPIInstructedReimbursementAgent</t>
  </si>
  <si>
    <t xml:space="preserve">InstructedReimbursementAgent</t>
  </si>
  <si>
    <t xml:space="preserve">IPIThirdReimbursementAgent</t>
  </si>
  <si>
    <t xml:space="preserve">ThirdReimbursementAgent</t>
  </si>
  <si>
    <t xml:space="preserve">IPIChargesAgent</t>
  </si>
  <si>
    <t xml:space="preserve">ChargesAgent</t>
  </si>
  <si>
    <t xml:space="preserve">IPIPointer to the appropriate PaymentPartyRole, depending on what's referenced in the instruction</t>
  </si>
  <si>
    <t xml:space="preserve">Pointer to the appropriate PaymentPartyRole, depending on what's referenced in the instruction</t>
  </si>
  <si>
    <t xml:space="preserve">OPIPaymentInstructiontPaymentMessage</t>
  </si>
  <si>
    <t xml:space="preserve">OutboundPaymentInstruction, OutboundPaymentMessage</t>
  </si>
  <si>
    <t xml:space="preserve">OPIPaymentRegulatoryReporting</t>
  </si>
  <si>
    <t xml:space="preserve">OPIPaymentTax</t>
  </si>
  <si>
    <t xml:space="preserve">OPIPaymentRemittance</t>
  </si>
  <si>
    <t xml:space="preserve">OPIReturningPartyPostalAddress</t>
  </si>
  <si>
    <t xml:space="preserve">OPIReturningParty</t>
  </si>
  <si>
    <t xml:space="preserve">OPIReturningPartyPartyIdentification</t>
  </si>
  <si>
    <t xml:space="preserve">OPIReturnReasonInformation</t>
  </si>
  <si>
    <t xml:space="preserve">OPIReturningPartyPartyIdentification, OutboundPaymentInstruction</t>
  </si>
  <si>
    <t xml:space="preserve">OPICharges</t>
  </si>
  <si>
    <t xml:space="preserve">OPIChargesAgentPartyIdentification, OutboundPaymentInstruction</t>
  </si>
  <si>
    <t xml:space="preserve">OPIDebtor</t>
  </si>
  <si>
    <t xml:space="preserve">OPICreditor</t>
  </si>
  <si>
    <t xml:space="preserve">OPIDebtorAgent</t>
  </si>
  <si>
    <t xml:space="preserve">OPICreditorAgent</t>
  </si>
  <si>
    <t xml:space="preserve">OPIInitiatingParty</t>
  </si>
  <si>
    <t xml:space="preserve">OPIUltimateDebtor</t>
  </si>
  <si>
    <t xml:space="preserve">OPIUltimateCreditor</t>
  </si>
  <si>
    <t xml:space="preserve">OPIIntermediaryAgent1</t>
  </si>
  <si>
    <t xml:space="preserve">OPIIntermediaryAgent2</t>
  </si>
  <si>
    <t xml:space="preserve">OPIIntermediaryAgent3</t>
  </si>
  <si>
    <t xml:space="preserve">OPIInstructedAgent</t>
  </si>
  <si>
    <t xml:space="preserve">OPIInstructingAgent</t>
  </si>
  <si>
    <t xml:space="preserve">OPIPreviousInstructingAgent1</t>
  </si>
  <si>
    <t xml:space="preserve">OPIPreviousInstructingAgent2</t>
  </si>
  <si>
    <t xml:space="preserve">OPIPreviousInstructingAgent3</t>
  </si>
  <si>
    <t xml:space="preserve">OPIInstructingReimbursementAgent</t>
  </si>
  <si>
    <t xml:space="preserve">OPIInstructedReimbursementAgent</t>
  </si>
  <si>
    <t xml:space="preserve">OPIThirdReimbursementAgent</t>
  </si>
  <si>
    <t xml:space="preserve">OPIChargesAgent</t>
  </si>
  <si>
    <t xml:space="preserve">Enterprise Data</t>
  </si>
  <si>
    <t xml:space="preserve">DomainNamespace</t>
  </si>
  <si>
    <t xml:space="preserve">Domain</t>
  </si>
  <si>
    <t xml:space="preserve">DomainLabel</t>
  </si>
  <si>
    <t xml:space="preserve">DomainParent</t>
  </si>
  <si>
    <t xml:space="preserve">GlobalDomains</t>
  </si>
  <si>
    <t xml:space="preserve">Default</t>
  </si>
  <si>
    <t xml:space="preserve">Blob</t>
  </si>
  <si>
    <t xml:space="preserve">Temporal</t>
  </si>
  <si>
    <t xml:space="preserve">Number</t>
  </si>
  <si>
    <t xml:space="preserve">Time</t>
  </si>
  <si>
    <t xml:space="preserve">Datetime</t>
  </si>
  <si>
    <t xml:space="preserve">Duration</t>
  </si>
  <si>
    <t xml:space="preserve">Period</t>
  </si>
  <si>
    <t xml:space="preserve">Code</t>
  </si>
  <si>
    <t xml:space="preserve">EmailAddress</t>
  </si>
  <si>
    <t xml:space="preserve">Email</t>
  </si>
  <si>
    <t xml:space="preserve">URI</t>
  </si>
  <si>
    <t xml:space="preserve">Rate</t>
  </si>
  <si>
    <t xml:space="preserve">Quantity</t>
  </si>
  <si>
    <t xml:space="preserve">Score</t>
  </si>
  <si>
    <t xml:space="preserve">Age</t>
  </si>
</sst>
</file>

<file path=xl/styles.xml><?xml version="1.0" encoding="utf-8"?>
<styleSheet xmlns="http://schemas.openxmlformats.org/spreadsheetml/2006/main">
  <numFmts count="1">
    <numFmt numFmtId="164" formatCode="General"/>
  </numFmts>
  <fonts count="6">
    <font>
      <sz val="10"/>
      <name val="Arial"/>
      <family val="2"/>
      <charset val="1"/>
    </font>
    <font>
      <sz val="10"/>
      <name val="Arial"/>
      <family val="0"/>
    </font>
    <font>
      <sz val="10"/>
      <name val="Arial"/>
      <family val="0"/>
    </font>
    <font>
      <sz val="10"/>
      <name val="Arial"/>
      <family val="0"/>
    </font>
    <font>
      <b val="true"/>
      <sz val="10"/>
      <name val="Arial"/>
      <family val="2"/>
      <charset val="1"/>
    </font>
    <font>
      <b val="true"/>
      <sz val="10"/>
      <color theme="0"/>
      <name val="Arial"/>
      <family val="2"/>
      <charset val="1"/>
    </font>
  </fonts>
  <fills count="13">
    <fill>
      <patternFill patternType="none"/>
    </fill>
    <fill>
      <patternFill patternType="gray125"/>
    </fill>
    <fill>
      <patternFill patternType="solid">
        <fgColor rgb="FF418AFF"/>
        <bgColor rgb="FF4E95D9"/>
      </patternFill>
    </fill>
    <fill>
      <patternFill patternType="solid">
        <fgColor rgb="FFA23EFF"/>
        <bgColor rgb="FF993366"/>
      </patternFill>
    </fill>
    <fill>
      <patternFill patternType="solid">
        <fgColor rgb="FFFF79FC"/>
        <bgColor rgb="FFCC99FF"/>
      </patternFill>
    </fill>
    <fill>
      <patternFill patternType="solid">
        <fgColor rgb="FFFF0000"/>
        <bgColor rgb="FF993300"/>
      </patternFill>
    </fill>
    <fill>
      <patternFill patternType="solid">
        <fgColor rgb="FFFF8000"/>
        <bgColor rgb="FFE8A202"/>
      </patternFill>
    </fill>
    <fill>
      <patternFill patternType="solid">
        <fgColor rgb="FFE8A202"/>
        <bgColor rgb="FFFFBF00"/>
      </patternFill>
    </fill>
    <fill>
      <patternFill patternType="solid">
        <fgColor rgb="FFFFBF00"/>
        <bgColor rgb="FFE8A202"/>
      </patternFill>
    </fill>
    <fill>
      <patternFill patternType="solid">
        <fgColor rgb="FF999999"/>
        <bgColor rgb="FF808080"/>
      </patternFill>
    </fill>
    <fill>
      <patternFill patternType="solid">
        <fgColor theme="0"/>
        <bgColor rgb="FFF2F2FF"/>
      </patternFill>
    </fill>
    <fill>
      <patternFill patternType="solid">
        <fgColor rgb="FFF2F2FF"/>
        <bgColor rgb="FFFFFFFF"/>
      </patternFill>
    </fill>
    <fill>
      <patternFill patternType="solid">
        <fgColor theme="3" tint="0.4999"/>
        <bgColor rgb="FF418AFF"/>
      </patternFill>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3">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1" xfId="0" applyFont="false" applyBorder="true" applyAlignment="true" applyProtection="true">
      <alignment horizontal="general" vertical="bottom" textRotation="0" wrapText="false" indent="0" shrinkToFit="false"/>
      <protection locked="true" hidden="false"/>
    </xf>
    <xf numFmtId="164" fontId="0" fillId="0" borderId="1" xfId="0" applyFont="false" applyBorder="true" applyAlignment="true" applyProtection="true">
      <alignment horizontal="general" vertical="bottom" textRotation="0" wrapText="true" indent="0" shrinkToFit="false"/>
      <protection locked="true" hidden="false"/>
    </xf>
    <xf numFmtId="164" fontId="0" fillId="0" borderId="1" xfId="0" applyFont="true" applyBorder="true" applyAlignment="true" applyProtection="true">
      <alignment horizontal="general" vertical="bottom" textRotation="0" wrapText="true" indent="0" shrinkToFit="false"/>
      <protection locked="true" hidden="false"/>
    </xf>
    <xf numFmtId="164" fontId="4" fillId="0" borderId="1" xfId="0" applyFont="true" applyBorder="true" applyAlignment="true" applyProtection="true">
      <alignment horizontal="general" vertical="bottom" textRotation="0" wrapText="false" indent="0" shrinkToFit="false"/>
      <protection locked="true" hidden="false"/>
    </xf>
    <xf numFmtId="164" fontId="4" fillId="2" borderId="1" xfId="0" applyFont="true" applyBorder="true" applyAlignment="true" applyProtection="true">
      <alignment horizontal="general" vertical="bottom" textRotation="0" wrapText="false" indent="0" shrinkToFit="false"/>
      <protection locked="true" hidden="false"/>
    </xf>
    <xf numFmtId="164" fontId="4" fillId="2" borderId="1" xfId="0" applyFont="true" applyBorder="true" applyAlignment="true" applyProtection="true">
      <alignment horizontal="general" vertical="bottom" textRotation="0" wrapText="true" indent="0" shrinkToFit="false"/>
      <protection locked="true" hidden="false"/>
    </xf>
    <xf numFmtId="164" fontId="4" fillId="3" borderId="1" xfId="0" applyFont="true" applyBorder="true" applyAlignment="true" applyProtection="true">
      <alignment horizontal="general" vertical="bottom" textRotation="0" wrapText="false" indent="0" shrinkToFit="false"/>
      <protection locked="true" hidden="false"/>
    </xf>
    <xf numFmtId="164" fontId="4" fillId="3" borderId="1" xfId="0" applyFont="true" applyBorder="true" applyAlignment="true" applyProtection="true">
      <alignment horizontal="general" vertical="bottom" textRotation="0" wrapText="true" indent="0" shrinkToFit="false"/>
      <protection locked="true" hidden="false"/>
    </xf>
    <xf numFmtId="164" fontId="4" fillId="4" borderId="1" xfId="0" applyFont="true" applyBorder="true" applyAlignment="true" applyProtection="true">
      <alignment horizontal="general" vertical="bottom" textRotation="0" wrapText="false" indent="0" shrinkToFit="false"/>
      <protection locked="true" hidden="false"/>
    </xf>
    <xf numFmtId="164" fontId="4" fillId="5" borderId="1" xfId="0" applyFont="true" applyBorder="true" applyAlignment="true" applyProtection="true">
      <alignment horizontal="general" vertical="bottom" textRotation="0" wrapText="false" indent="0" shrinkToFit="false"/>
      <protection locked="true" hidden="false"/>
    </xf>
    <xf numFmtId="164" fontId="4" fillId="5" borderId="1" xfId="0" applyFont="true" applyBorder="true" applyAlignment="true" applyProtection="true">
      <alignment horizontal="general" vertical="bottom" textRotation="0" wrapText="true" indent="0" shrinkToFit="false"/>
      <protection locked="true" hidden="false"/>
    </xf>
    <xf numFmtId="164" fontId="4" fillId="6" borderId="1" xfId="0" applyFont="true" applyBorder="true" applyAlignment="true" applyProtection="true">
      <alignment horizontal="general" vertical="bottom" textRotation="0" wrapText="false" indent="0" shrinkToFit="false"/>
      <protection locked="true" hidden="false"/>
    </xf>
    <xf numFmtId="164" fontId="4" fillId="6" borderId="1" xfId="0" applyFont="true" applyBorder="true" applyAlignment="true" applyProtection="true">
      <alignment horizontal="general" vertical="bottom" textRotation="0" wrapText="true" indent="0" shrinkToFit="false"/>
      <protection locked="true" hidden="false"/>
    </xf>
    <xf numFmtId="164" fontId="4" fillId="7" borderId="0" xfId="0" applyFont="true" applyBorder="false" applyAlignment="true" applyProtection="true">
      <alignment horizontal="general" vertical="bottom" textRotation="0" wrapText="false" indent="0" shrinkToFit="false"/>
      <protection locked="true" hidden="false"/>
    </xf>
    <xf numFmtId="164" fontId="4" fillId="7" borderId="0" xfId="0" applyFont="true" applyBorder="false" applyAlignment="true" applyProtection="true">
      <alignment horizontal="general" vertical="bottom" textRotation="0" wrapText="true" indent="0" shrinkToFit="false"/>
      <protection locked="true" hidden="false"/>
    </xf>
    <xf numFmtId="164" fontId="4" fillId="8" borderId="1" xfId="0" applyFont="true" applyBorder="true" applyAlignment="true" applyProtection="true">
      <alignment horizontal="general" vertical="bottom" textRotation="0" wrapText="false" indent="0" shrinkToFit="false"/>
      <protection locked="true" hidden="false"/>
    </xf>
    <xf numFmtId="164" fontId="4" fillId="8" borderId="1" xfId="0" applyFont="true" applyBorder="true" applyAlignment="true" applyProtection="true">
      <alignment horizontal="general" vertical="bottom" textRotation="0" wrapText="true" indent="0" shrinkToFit="false"/>
      <protection locked="true" hidden="false"/>
    </xf>
    <xf numFmtId="164" fontId="4" fillId="9" borderId="1" xfId="0" applyFont="true" applyBorder="true" applyAlignment="true" applyProtection="tru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bottom" textRotation="0" wrapText="false" indent="0" shrinkToFit="false"/>
      <protection locked="true" hidden="false"/>
    </xf>
    <xf numFmtId="164" fontId="0" fillId="10" borderId="1" xfId="0" applyFont="true" applyBorder="true" applyAlignment="true" applyProtection="true">
      <alignment horizontal="general" vertical="bottom" textRotation="0" wrapText="false" indent="0" shrinkToFit="false"/>
      <protection locked="true" hidden="false"/>
    </xf>
    <xf numFmtId="164" fontId="0" fillId="10" borderId="1" xfId="0" applyFont="true" applyBorder="true" applyAlignment="true" applyProtection="true">
      <alignment horizontal="general" vertical="bottom" textRotation="0" wrapText="tru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0" fillId="11" borderId="1" xfId="0" applyFont="true" applyBorder="true" applyAlignment="true" applyProtection="true">
      <alignment horizontal="general" vertical="bottom" textRotation="0" wrapText="false" indent="0" shrinkToFit="false"/>
      <protection locked="true" hidden="false"/>
    </xf>
    <xf numFmtId="164" fontId="0" fillId="11" borderId="1" xfId="0" applyFont="true" applyBorder="true" applyAlignment="true" applyProtection="true">
      <alignment horizontal="general" vertical="bottom" textRotation="0" wrapText="true" indent="0" shrinkToFit="false"/>
      <protection locked="true" hidden="false"/>
    </xf>
    <xf numFmtId="164" fontId="4" fillId="10" borderId="1" xfId="0" applyFont="true" applyBorder="true" applyAlignment="true" applyProtection="true">
      <alignment horizontal="general" vertical="bottom" textRotation="0" wrapText="false" indent="0" shrinkToFit="false"/>
      <protection locked="true" hidden="false"/>
    </xf>
    <xf numFmtId="164" fontId="4" fillId="11" borderId="1" xfId="0" applyFont="true" applyBorder="true" applyAlignment="true" applyProtection="true">
      <alignment horizontal="general" vertical="bottom" textRotation="0" wrapText="false" indent="0" shrinkToFit="false"/>
      <protection locked="true" hidden="false"/>
    </xf>
    <xf numFmtId="164" fontId="0" fillId="0" borderId="1" xfId="0" applyFont="true" applyBorder="true" applyAlignment="true" applyProtection="true">
      <alignment horizontal="general" vertical="bottom" textRotation="0" wrapText="false" indent="0" shrinkToFit="false"/>
      <protection locked="true" hidden="false"/>
    </xf>
    <xf numFmtId="164" fontId="5" fillId="12" borderId="1" xfId="0" applyFont="true" applyBorder="tru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true" indent="0" shrinkToFit="false"/>
      <protection locked="true" hidden="false"/>
    </xf>
    <xf numFmtId="164" fontId="4" fillId="0" borderId="0" xfId="0" applyFont="true" applyBorder="false" applyAlignment="true" applyProtection="true">
      <alignment horizontal="general" vertical="bottom" textRotation="0" wrapText="true" indent="0" shrinkToFit="false"/>
      <protection locked="true" hidden="false"/>
    </xf>
    <xf numFmtId="164" fontId="0" fillId="0" borderId="0" xfId="0" applyFont="true" applyBorder="false" applyAlignment="true" applyProtection="tru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1">
    <dxf>
      <fill>
        <patternFill patternType="solid">
          <fgColor rgb="FF418AFF"/>
          <bgColor rgb="FF000000"/>
        </patternFill>
      </fill>
    </dxf>
    <dxf>
      <fill>
        <patternFill patternType="solid">
          <fgColor rgb="FFF2F2FF"/>
          <bgColor rgb="FF000000"/>
        </patternFill>
      </fill>
    </dxf>
    <dxf>
      <fill>
        <patternFill patternType="solid">
          <fgColor rgb="FFFFFFFF"/>
          <bgColor rgb="FF000000"/>
        </patternFill>
      </fill>
    </dxf>
    <dxf>
      <fill>
        <patternFill patternType="solid">
          <bgColor rgb="FF000000"/>
        </patternFill>
      </fill>
    </dxf>
    <dxf>
      <fill>
        <patternFill patternType="solid">
          <fgColor rgb="FFA23EFF"/>
          <bgColor rgb="FF000000"/>
        </patternFill>
      </fill>
    </dxf>
    <dxf>
      <fill>
        <patternFill patternType="solid">
          <fgColor rgb="FFFF79FC"/>
          <bgColor rgb="FF000000"/>
        </patternFill>
      </fill>
    </dxf>
    <dxf>
      <fill>
        <patternFill patternType="solid">
          <fgColor rgb="FFFF0000"/>
          <bgColor rgb="FF000000"/>
        </patternFill>
      </fill>
    </dxf>
    <dxf>
      <fill>
        <patternFill patternType="solid">
          <fgColor rgb="FFFF8000"/>
          <bgColor rgb="FF000000"/>
        </patternFill>
      </fill>
    </dxf>
    <dxf>
      <fill>
        <patternFill patternType="solid">
          <fgColor rgb="FFE8A202"/>
          <bgColor rgb="FF000000"/>
        </patternFill>
      </fill>
    </dxf>
    <dxf>
      <fill>
        <patternFill patternType="solid">
          <fgColor rgb="FFFFBF00"/>
          <bgColor rgb="FF000000"/>
        </patternFill>
      </fill>
    </dxf>
    <dxf>
      <fill>
        <patternFill patternType="solid">
          <fgColor rgb="FF999999"/>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A23EFF"/>
      <rgbColor rgb="FFF2F2FF"/>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79FC"/>
      <rgbColor rgb="FFCC99FF"/>
      <rgbColor rgb="FFFFCC99"/>
      <rgbColor rgb="FF418AFF"/>
      <rgbColor rgb="FF33CCCC"/>
      <rgbColor rgb="FF99CC00"/>
      <rgbColor rgb="FFFFBF00"/>
      <rgbColor rgb="FFE8A202"/>
      <rgbColor rgb="FFFF8000"/>
      <rgbColor rgb="FF666699"/>
      <rgbColor rgb="FF999999"/>
      <rgbColor rgb="FF003366"/>
      <rgbColor rgb="FF4E95D9"/>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pitchFamily="0" charset="1"/>
        <a:ea typeface=""/>
        <a:cs typeface=""/>
      </a:majorFont>
      <a:minorFont>
        <a:latin typeface="Aptos Narrow" panose="0211000402020202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12700" cap="flat" cmpd="sng" algn="ctr">
          <a:prstDash val="solid"/>
          <a:miter lim="800000"/>
        </a:ln>
        <a:ln w="19050" cap="flat" cmpd="sng" algn="ctr">
          <a:prstDash val="solid"/>
          <a:miter lim="800000"/>
        </a:ln>
        <a:ln w="2540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H218"/>
  <sheetViews>
    <sheetView showFormulas="false" showGridLines="true" showRowColHeaders="true" showZeros="true" rightToLeft="false" tabSelected="true" showOutlineSymbols="true" defaultGridColor="true" view="normal" topLeftCell="AN1" colorId="64" zoomScale="85" zoomScaleNormal="85" zoomScalePageLayoutView="100" workbookViewId="0">
      <pane xSplit="0" ySplit="1" topLeftCell="A30" activePane="bottomLeft" state="frozen"/>
      <selection pane="topLeft" activeCell="AN1" activeCellId="0" sqref="AN1"/>
      <selection pane="bottomLeft" activeCell="AQ38" activeCellId="0" sqref="AQ38"/>
    </sheetView>
  </sheetViews>
  <sheetFormatPr defaultColWidth="11.53515625" defaultRowHeight="24" zeroHeight="false" outlineLevelRow="0" outlineLevelCol="0"/>
  <cols>
    <col collapsed="false" customWidth="true" hidden="false" outlineLevel="0" max="1" min="1" style="1" width="15.25"/>
    <col collapsed="false" customWidth="true" hidden="false" outlineLevel="0" max="2" min="2" style="1" width="19.18"/>
    <col collapsed="false" customWidth="true" hidden="false" outlineLevel="0" max="3" min="3" style="2" width="15.87"/>
    <col collapsed="false" customWidth="true" hidden="false" outlineLevel="0" max="4" min="4" style="2" width="15.54"/>
    <col collapsed="false" customWidth="true" hidden="false" outlineLevel="0" max="5" min="5" style="1" width="14.93"/>
    <col collapsed="false" customWidth="true" hidden="false" outlineLevel="0" max="6" min="6" style="1" width="19.67"/>
    <col collapsed="false" customWidth="true" hidden="false" outlineLevel="0" max="7" min="7" style="2" width="85.8"/>
    <col collapsed="false" customWidth="true" hidden="false" outlineLevel="0" max="8" min="8" style="1" width="20.49"/>
    <col collapsed="false" customWidth="true" hidden="false" outlineLevel="0" max="9" min="9" style="1" width="19.67"/>
    <col collapsed="false" customWidth="true" hidden="false" outlineLevel="0" max="11" min="10" style="1" width="23.77"/>
    <col collapsed="false" customWidth="true" hidden="false" outlineLevel="0" max="12" min="12" style="1" width="48.64"/>
    <col collapsed="false" customWidth="true" hidden="false" outlineLevel="0" max="13" min="13" style="1" width="13.95"/>
    <col collapsed="false" customWidth="true" hidden="false" outlineLevel="0" max="15" min="14" style="1" width="31.95"/>
    <col collapsed="false" customWidth="false" hidden="false" outlineLevel="0" max="16" min="16" style="2" width="11.53"/>
    <col collapsed="false" customWidth="true" hidden="false" outlineLevel="0" max="17" min="17" style="1" width="34.07"/>
    <col collapsed="false" customWidth="true" hidden="false" outlineLevel="0" max="18" min="18" style="2" width="31.78"/>
    <col collapsed="false" customWidth="true" hidden="false" outlineLevel="0" max="19" min="19" style="3" width="52.41"/>
    <col collapsed="false" customWidth="true" hidden="false" outlineLevel="0" max="20" min="20" style="1" width="20.66"/>
    <col collapsed="false" customWidth="true" hidden="false" outlineLevel="0" max="21" min="21" style="1" width="21.14"/>
    <col collapsed="false" customWidth="true" hidden="false" outlineLevel="0" max="22" min="22" style="1" width="18.86"/>
    <col collapsed="false" customWidth="true" hidden="false" outlineLevel="0" max="24" min="23" style="1" width="20.29"/>
    <col collapsed="false" customWidth="true" hidden="false" outlineLevel="0" max="25" min="25" style="1" width="16.56"/>
    <col collapsed="false" customWidth="true" hidden="false" outlineLevel="0" max="26" min="26" style="1" width="8.38"/>
    <col collapsed="false" customWidth="true" hidden="false" outlineLevel="0" max="27" min="27" style="1" width="33.25"/>
    <col collapsed="false" customWidth="true" hidden="false" outlineLevel="0" max="28" min="28" style="1" width="17.54"/>
    <col collapsed="false" customWidth="false" hidden="false" outlineLevel="0" max="29" min="29" style="1" width="11.53"/>
    <col collapsed="false" customWidth="true" hidden="false" outlineLevel="0" max="30" min="30" style="1" width="34.07"/>
    <col collapsed="false" customWidth="true" hidden="false" outlineLevel="0" max="31" min="31" style="1" width="40.46"/>
    <col collapsed="false" customWidth="true" hidden="false" outlineLevel="0" max="32" min="32" style="1" width="14.77"/>
    <col collapsed="false" customWidth="true" hidden="false" outlineLevel="0" max="33" min="33" style="1" width="28.52"/>
    <col collapsed="false" customWidth="true" hidden="false" outlineLevel="0" max="34" min="34" style="2" width="13.29"/>
    <col collapsed="false" customWidth="true" hidden="false" outlineLevel="0" max="35" min="35" style="1" width="19.67"/>
    <col collapsed="false" customWidth="true" hidden="false" outlineLevel="0" max="36" min="36" style="4" width="34.4"/>
    <col collapsed="false" customWidth="true" hidden="false" outlineLevel="0" max="37" min="37" style="4" width="14.43"/>
    <col collapsed="false" customWidth="true" hidden="false" outlineLevel="0" max="38" min="38" style="4" width="19.18"/>
    <col collapsed="false" customWidth="true" hidden="false" outlineLevel="0" max="39" min="39" style="4" width="36.69"/>
    <col collapsed="false" customWidth="true" hidden="false" outlineLevel="0" max="40" min="40" style="1" width="34.07"/>
    <col collapsed="false" customWidth="true" hidden="false" outlineLevel="0" max="41" min="41" style="1" width="24.09"/>
    <col collapsed="false" customWidth="true" hidden="false" outlineLevel="0" max="42" min="42" style="1" width="23.77"/>
    <col collapsed="false" customWidth="true" hidden="false" outlineLevel="0" max="43" min="43" style="1" width="25.07"/>
    <col collapsed="false" customWidth="true" hidden="false" outlineLevel="0" max="44" min="44" style="4" width="24.25"/>
    <col collapsed="false" customWidth="true" hidden="false" outlineLevel="0" max="45" min="45" style="4" width="13.95"/>
    <col collapsed="false" customWidth="true" hidden="false" outlineLevel="0" max="46" min="46" style="4" width="18.69"/>
    <col collapsed="false" customWidth="true" hidden="false" outlineLevel="0" max="47" min="47" style="4" width="17.22"/>
    <col collapsed="false" customWidth="true" hidden="false" outlineLevel="0" max="48" min="48" style="1" width="29.66"/>
    <col collapsed="false" customWidth="true" hidden="false" outlineLevel="0" max="49" min="49" style="1" width="23.6"/>
    <col collapsed="false" customWidth="true" hidden="false" outlineLevel="0" max="50" min="50" style="1" width="23.27"/>
    <col collapsed="false" customWidth="false" hidden="false" outlineLevel="0" max="16384" min="61" style="1" width="11.53"/>
  </cols>
  <sheetData>
    <row r="1" s="4" customFormat="true" ht="43" hidden="false" customHeight="true" outlineLevel="0" collapsed="false">
      <c r="A1" s="5" t="s">
        <v>0</v>
      </c>
      <c r="B1" s="5" t="s">
        <v>1</v>
      </c>
      <c r="C1" s="6" t="s">
        <v>2</v>
      </c>
      <c r="D1" s="6" t="s">
        <v>3</v>
      </c>
      <c r="E1" s="7" t="s">
        <v>4</v>
      </c>
      <c r="F1" s="7" t="s">
        <v>5</v>
      </c>
      <c r="G1" s="8" t="s">
        <v>6</v>
      </c>
      <c r="H1" s="7" t="s">
        <v>7</v>
      </c>
      <c r="I1" s="9" t="s">
        <v>8</v>
      </c>
      <c r="J1" s="9" t="s">
        <v>9</v>
      </c>
      <c r="K1" s="9" t="s">
        <v>10</v>
      </c>
      <c r="L1" s="9" t="s">
        <v>11</v>
      </c>
      <c r="M1" s="9" t="s">
        <v>12</v>
      </c>
      <c r="N1" s="10" t="s">
        <v>13</v>
      </c>
      <c r="O1" s="10" t="s">
        <v>14</v>
      </c>
      <c r="P1" s="11" t="s">
        <v>15</v>
      </c>
      <c r="Q1" s="12" t="s">
        <v>16</v>
      </c>
      <c r="R1" s="13" t="s">
        <v>17</v>
      </c>
      <c r="S1" s="13" t="s">
        <v>18</v>
      </c>
      <c r="T1" s="12" t="s">
        <v>19</v>
      </c>
      <c r="U1" s="12" t="s">
        <v>20</v>
      </c>
      <c r="V1" s="12" t="s">
        <v>21</v>
      </c>
      <c r="W1" s="12" t="s">
        <v>22</v>
      </c>
      <c r="X1" s="12" t="s">
        <v>23</v>
      </c>
      <c r="Y1" s="12" t="s">
        <v>24</v>
      </c>
      <c r="Z1" s="12" t="s">
        <v>25</v>
      </c>
      <c r="AA1" s="14" t="s">
        <v>26</v>
      </c>
      <c r="AB1" s="14" t="s">
        <v>27</v>
      </c>
      <c r="AC1" s="15" t="s">
        <v>28</v>
      </c>
      <c r="AD1" s="14" t="s">
        <v>29</v>
      </c>
      <c r="AE1" s="16" t="s">
        <v>30</v>
      </c>
      <c r="AF1" s="16" t="s">
        <v>31</v>
      </c>
      <c r="AG1" s="16" t="s">
        <v>32</v>
      </c>
      <c r="AH1" s="17" t="s">
        <v>33</v>
      </c>
      <c r="AI1" s="16" t="s">
        <v>34</v>
      </c>
      <c r="AJ1" s="16" t="s">
        <v>35</v>
      </c>
      <c r="AK1" s="16" t="s">
        <v>36</v>
      </c>
      <c r="AL1" s="16" t="s">
        <v>37</v>
      </c>
      <c r="AM1" s="16" t="s">
        <v>38</v>
      </c>
      <c r="AN1" s="18" t="s">
        <v>39</v>
      </c>
      <c r="AO1" s="16" t="s">
        <v>40</v>
      </c>
      <c r="AP1" s="16" t="s">
        <v>41</v>
      </c>
      <c r="AQ1" s="16" t="s">
        <v>42</v>
      </c>
      <c r="AR1" s="16" t="s">
        <v>43</v>
      </c>
      <c r="AS1" s="16" t="s">
        <v>44</v>
      </c>
      <c r="AT1" s="16" t="s">
        <v>45</v>
      </c>
      <c r="AU1" s="19" t="s">
        <v>46</v>
      </c>
      <c r="AV1" s="16" t="s">
        <v>47</v>
      </c>
      <c r="AW1" s="16" t="s">
        <v>48</v>
      </c>
      <c r="AX1" s="16" t="s">
        <v>49</v>
      </c>
      <c r="AY1" s="19"/>
      <c r="AZ1" s="19"/>
      <c r="BA1" s="19"/>
      <c r="BB1" s="19"/>
      <c r="BC1" s="19"/>
      <c r="BD1" s="19"/>
      <c r="BE1" s="19"/>
      <c r="BF1" s="19"/>
      <c r="BG1" s="0"/>
      <c r="BH1" s="0"/>
    </row>
    <row r="2" s="20" customFormat="true" ht="24" hidden="false" customHeight="true" outlineLevel="0" collapsed="false">
      <c r="A2" s="20" t="s">
        <v>50</v>
      </c>
      <c r="B2" s="20" t="s">
        <v>50</v>
      </c>
      <c r="C2" s="21" t="s">
        <v>51</v>
      </c>
      <c r="D2" s="21"/>
      <c r="E2" s="20" t="s">
        <v>52</v>
      </c>
      <c r="F2" s="20" t="s">
        <v>52</v>
      </c>
      <c r="G2" s="20" t="s">
        <v>53</v>
      </c>
      <c r="H2" s="20" t="s">
        <v>54</v>
      </c>
      <c r="P2" s="21"/>
      <c r="R2" s="21"/>
      <c r="S2" s="21"/>
      <c r="AF2" s="20" t="n">
        <f aca="false">COUNTIF($AE$2:$AE$218,AE2)</f>
        <v>0</v>
      </c>
      <c r="AH2" s="21"/>
      <c r="AY2" s="22"/>
      <c r="AZ2" s="22"/>
      <c r="BA2" s="22"/>
      <c r="BB2" s="22"/>
      <c r="BC2" s="22"/>
      <c r="BD2" s="22"/>
      <c r="BE2" s="22"/>
      <c r="BF2" s="22"/>
      <c r="BG2" s="0"/>
      <c r="BH2" s="0"/>
    </row>
    <row r="3" s="20" customFormat="true" ht="24" hidden="false" customHeight="true" outlineLevel="0" collapsed="false">
      <c r="A3" s="20" t="s">
        <v>50</v>
      </c>
      <c r="B3" s="20" t="s">
        <v>50</v>
      </c>
      <c r="C3" s="21" t="s">
        <v>51</v>
      </c>
      <c r="D3" s="21"/>
      <c r="E3" s="20" t="s">
        <v>55</v>
      </c>
      <c r="F3" s="20" t="s">
        <v>55</v>
      </c>
      <c r="G3" s="21" t="s">
        <v>56</v>
      </c>
      <c r="H3" s="20" t="s">
        <v>52</v>
      </c>
      <c r="P3" s="21"/>
      <c r="R3" s="21"/>
      <c r="S3" s="21"/>
      <c r="AF3" s="20" t="n">
        <f aca="false">COUNTIF($AE$2:$AE$218,AE3)</f>
        <v>0</v>
      </c>
      <c r="AH3" s="21"/>
      <c r="AY3" s="22"/>
      <c r="AZ3" s="22"/>
      <c r="BA3" s="22"/>
      <c r="BB3" s="22"/>
      <c r="BC3" s="22"/>
      <c r="BD3" s="22"/>
      <c r="BE3" s="22"/>
      <c r="BF3" s="22"/>
      <c r="BG3" s="0"/>
      <c r="BH3" s="0"/>
    </row>
    <row r="4" s="20" customFormat="true" ht="24" hidden="false" customHeight="true" outlineLevel="0" collapsed="false">
      <c r="A4" s="20" t="s">
        <v>50</v>
      </c>
      <c r="B4" s="20" t="s">
        <v>50</v>
      </c>
      <c r="C4" s="21" t="s">
        <v>51</v>
      </c>
      <c r="D4" s="21"/>
      <c r="E4" s="20" t="s">
        <v>57</v>
      </c>
      <c r="F4" s="20" t="s">
        <v>57</v>
      </c>
      <c r="G4" s="21" t="s">
        <v>58</v>
      </c>
      <c r="H4" s="20" t="s">
        <v>52</v>
      </c>
      <c r="P4" s="21"/>
      <c r="R4" s="21"/>
      <c r="S4" s="21"/>
      <c r="AF4" s="20" t="n">
        <f aca="false">COUNTIF($AE$2:$AE$218,AE4)</f>
        <v>0</v>
      </c>
      <c r="AH4" s="21"/>
      <c r="AY4" s="22"/>
      <c r="AZ4" s="22"/>
      <c r="BA4" s="22"/>
      <c r="BB4" s="22"/>
      <c r="BC4" s="22"/>
      <c r="BD4" s="22"/>
      <c r="BE4" s="22"/>
      <c r="BF4" s="22"/>
      <c r="BG4" s="0"/>
      <c r="BH4" s="0"/>
    </row>
    <row r="5" s="20" customFormat="true" ht="24" hidden="false" customHeight="true" outlineLevel="0" collapsed="false">
      <c r="A5" s="20" t="s">
        <v>50</v>
      </c>
      <c r="B5" s="20" t="s">
        <v>50</v>
      </c>
      <c r="C5" s="21" t="s">
        <v>51</v>
      </c>
      <c r="D5" s="21"/>
      <c r="E5" s="20" t="s">
        <v>59</v>
      </c>
      <c r="F5" s="20" t="s">
        <v>59</v>
      </c>
      <c r="G5" s="21" t="s">
        <v>60</v>
      </c>
      <c r="H5" s="20" t="s">
        <v>52</v>
      </c>
      <c r="P5" s="21"/>
      <c r="R5" s="21"/>
      <c r="S5" s="21"/>
      <c r="AF5" s="20" t="n">
        <f aca="false">COUNTIF($AE$2:$AE$218,AE5)</f>
        <v>0</v>
      </c>
      <c r="AH5" s="21"/>
      <c r="AY5" s="22"/>
      <c r="AZ5" s="22"/>
      <c r="BA5" s="22"/>
      <c r="BB5" s="22"/>
      <c r="BC5" s="22"/>
      <c r="BD5" s="22"/>
      <c r="BE5" s="22"/>
      <c r="BF5" s="22"/>
      <c r="BG5" s="0"/>
      <c r="BH5" s="0"/>
    </row>
    <row r="6" s="20" customFormat="true" ht="24" hidden="false" customHeight="true" outlineLevel="0" collapsed="false">
      <c r="A6" s="20" t="s">
        <v>50</v>
      </c>
      <c r="B6" s="20" t="s">
        <v>50</v>
      </c>
      <c r="C6" s="21" t="s">
        <v>51</v>
      </c>
      <c r="D6" s="21"/>
      <c r="E6" s="20" t="s">
        <v>61</v>
      </c>
      <c r="F6" s="20" t="s">
        <v>61</v>
      </c>
      <c r="G6" s="21" t="s">
        <v>62</v>
      </c>
      <c r="H6" s="20" t="s">
        <v>52</v>
      </c>
      <c r="P6" s="21"/>
      <c r="R6" s="21"/>
      <c r="S6" s="21"/>
      <c r="AF6" s="20" t="n">
        <f aca="false">COUNTIF($AE$2:$AE$218,AE6)</f>
        <v>0</v>
      </c>
      <c r="AH6" s="21"/>
      <c r="AY6" s="22"/>
      <c r="AZ6" s="22"/>
      <c r="BA6" s="22"/>
      <c r="BB6" s="22"/>
      <c r="BC6" s="22"/>
      <c r="BD6" s="22"/>
      <c r="BE6" s="22"/>
      <c r="BF6" s="22"/>
      <c r="BG6" s="0"/>
      <c r="BH6" s="0"/>
    </row>
    <row r="7" s="20" customFormat="true" ht="24" hidden="false" customHeight="true" outlineLevel="0" collapsed="false">
      <c r="A7" s="20" t="s">
        <v>50</v>
      </c>
      <c r="B7" s="20" t="s">
        <v>50</v>
      </c>
      <c r="C7" s="21" t="s">
        <v>51</v>
      </c>
      <c r="D7" s="21"/>
      <c r="E7" s="20" t="s">
        <v>63</v>
      </c>
      <c r="F7" s="20" t="s">
        <v>63</v>
      </c>
      <c r="G7" s="21" t="s">
        <v>64</v>
      </c>
      <c r="H7" s="20" t="s">
        <v>52</v>
      </c>
      <c r="P7" s="21"/>
      <c r="R7" s="21"/>
      <c r="S7" s="21"/>
      <c r="AF7" s="20" t="n">
        <f aca="false">COUNTIF($AE$2:$AE$218,AE7)</f>
        <v>0</v>
      </c>
      <c r="AH7" s="21"/>
      <c r="AY7" s="22"/>
      <c r="AZ7" s="22"/>
      <c r="BA7" s="22"/>
      <c r="BB7" s="22"/>
      <c r="BC7" s="22"/>
      <c r="BD7" s="22"/>
      <c r="BE7" s="22"/>
      <c r="BF7" s="22"/>
      <c r="BG7" s="0"/>
      <c r="BH7" s="0"/>
    </row>
    <row r="8" s="20" customFormat="true" ht="24" hidden="false" customHeight="true" outlineLevel="0" collapsed="false">
      <c r="A8" s="20" t="s">
        <v>50</v>
      </c>
      <c r="B8" s="20" t="s">
        <v>50</v>
      </c>
      <c r="C8" s="21" t="s">
        <v>51</v>
      </c>
      <c r="D8" s="21"/>
      <c r="E8" s="20" t="s">
        <v>65</v>
      </c>
      <c r="F8" s="20" t="s">
        <v>65</v>
      </c>
      <c r="G8" s="21" t="s">
        <v>66</v>
      </c>
      <c r="H8" s="20" t="s">
        <v>52</v>
      </c>
      <c r="P8" s="21"/>
      <c r="R8" s="21"/>
      <c r="S8" s="21"/>
      <c r="AF8" s="20" t="n">
        <f aca="false">COUNTIF($AE$2:$AE$218,AE8)</f>
        <v>0</v>
      </c>
      <c r="AH8" s="21"/>
      <c r="AY8" s="22"/>
      <c r="AZ8" s="22"/>
      <c r="BA8" s="22"/>
      <c r="BB8" s="22"/>
      <c r="BC8" s="22"/>
      <c r="BD8" s="22"/>
      <c r="BE8" s="22"/>
      <c r="BF8" s="22"/>
      <c r="BG8" s="0"/>
      <c r="BH8" s="0"/>
    </row>
    <row r="9" s="20" customFormat="true" ht="24" hidden="false" customHeight="true" outlineLevel="0" collapsed="false">
      <c r="A9" s="20" t="s">
        <v>50</v>
      </c>
      <c r="B9" s="20" t="s">
        <v>50</v>
      </c>
      <c r="C9" s="21" t="s">
        <v>51</v>
      </c>
      <c r="D9" s="21"/>
      <c r="E9" s="20" t="s">
        <v>67</v>
      </c>
      <c r="F9" s="20" t="s">
        <v>67</v>
      </c>
      <c r="G9" s="21" t="s">
        <v>68</v>
      </c>
      <c r="H9" s="20" t="s">
        <v>52</v>
      </c>
      <c r="P9" s="21"/>
      <c r="R9" s="21"/>
      <c r="S9" s="21"/>
      <c r="AF9" s="20" t="n">
        <f aca="false">COUNTIF($AE$2:$AE$218,AE9)</f>
        <v>0</v>
      </c>
      <c r="AH9" s="21"/>
      <c r="AY9" s="22"/>
      <c r="AZ9" s="22"/>
      <c r="BA9" s="22"/>
      <c r="BB9" s="22"/>
      <c r="BC9" s="22"/>
      <c r="BD9" s="22"/>
      <c r="BE9" s="22"/>
      <c r="BF9" s="22"/>
      <c r="BG9" s="0"/>
      <c r="BH9" s="0"/>
    </row>
    <row r="10" s="23" customFormat="true" ht="24" hidden="false" customHeight="true" outlineLevel="0" collapsed="false">
      <c r="A10" s="23" t="s">
        <v>50</v>
      </c>
      <c r="B10" s="23" t="s">
        <v>50</v>
      </c>
      <c r="C10" s="24" t="s">
        <v>51</v>
      </c>
      <c r="D10" s="24"/>
      <c r="E10" s="23" t="s">
        <v>63</v>
      </c>
      <c r="F10" s="23" t="s">
        <v>63</v>
      </c>
      <c r="G10" s="24" t="s">
        <v>64</v>
      </c>
      <c r="H10" s="23" t="s">
        <v>52</v>
      </c>
      <c r="I10" s="23" t="s">
        <v>69</v>
      </c>
      <c r="J10" s="23" t="s">
        <v>52</v>
      </c>
      <c r="K10" s="23" t="s">
        <v>70</v>
      </c>
      <c r="L10" s="23" t="s">
        <v>71</v>
      </c>
      <c r="M10" s="23" t="s">
        <v>72</v>
      </c>
      <c r="N10" s="23" t="s">
        <v>73</v>
      </c>
      <c r="O10" s="23" t="s">
        <v>73</v>
      </c>
      <c r="P10" s="24" t="s">
        <v>74</v>
      </c>
      <c r="Q10" s="23" t="s">
        <v>75</v>
      </c>
      <c r="R10" s="24" t="s">
        <v>75</v>
      </c>
      <c r="S10" s="24" t="s">
        <v>76</v>
      </c>
      <c r="T10" s="23" t="n">
        <v>0</v>
      </c>
      <c r="U10" s="22" t="s">
        <v>77</v>
      </c>
      <c r="V10" s="23" t="s">
        <v>78</v>
      </c>
      <c r="Y10" s="23" t="s">
        <v>79</v>
      </c>
      <c r="Z10" s="23" t="s">
        <v>80</v>
      </c>
      <c r="AA10" s="23" t="s">
        <v>81</v>
      </c>
      <c r="AB10" s="23" t="s">
        <v>82</v>
      </c>
      <c r="AD10" s="23" t="str">
        <f aca="false">Q10</f>
        <v>PostalAddressIdentifier</v>
      </c>
      <c r="AF10" s="23" t="n">
        <f aca="false">COUNTIF($AE$2:$AE$218,AE10)</f>
        <v>0</v>
      </c>
      <c r="AH10" s="24"/>
      <c r="AY10" s="22"/>
      <c r="AZ10" s="22"/>
      <c r="BA10" s="22"/>
      <c r="BB10" s="22"/>
      <c r="BC10" s="22"/>
      <c r="BD10" s="22"/>
      <c r="BE10" s="22"/>
      <c r="BF10" s="22"/>
      <c r="BG10" s="0"/>
      <c r="BH10" s="0"/>
    </row>
    <row r="11" s="23" customFormat="true" ht="24" hidden="false" customHeight="true" outlineLevel="0" collapsed="false">
      <c r="A11" s="23" t="s">
        <v>50</v>
      </c>
      <c r="B11" s="23" t="s">
        <v>50</v>
      </c>
      <c r="C11" s="24" t="s">
        <v>51</v>
      </c>
      <c r="D11" s="24"/>
      <c r="E11" s="23" t="s">
        <v>63</v>
      </c>
      <c r="F11" s="23" t="s">
        <v>63</v>
      </c>
      <c r="G11" s="24" t="s">
        <v>64</v>
      </c>
      <c r="H11" s="23" t="s">
        <v>52</v>
      </c>
      <c r="I11" s="23" t="s">
        <v>69</v>
      </c>
      <c r="J11" s="23" t="s">
        <v>52</v>
      </c>
      <c r="K11" s="23" t="s">
        <v>70</v>
      </c>
      <c r="L11" s="23" t="s">
        <v>71</v>
      </c>
      <c r="M11" s="23" t="s">
        <v>72</v>
      </c>
      <c r="N11" s="23" t="s">
        <v>73</v>
      </c>
      <c r="O11" s="23" t="s">
        <v>73</v>
      </c>
      <c r="P11" s="24" t="s">
        <v>74</v>
      </c>
      <c r="Q11" s="23" t="s">
        <v>83</v>
      </c>
      <c r="R11" s="24" t="s">
        <v>83</v>
      </c>
      <c r="S11" s="24" t="s">
        <v>84</v>
      </c>
      <c r="T11" s="23" t="n">
        <v>1</v>
      </c>
      <c r="U11" s="22" t="s">
        <v>77</v>
      </c>
      <c r="V11" s="23" t="s">
        <v>85</v>
      </c>
      <c r="Y11" s="23" t="s">
        <v>80</v>
      </c>
      <c r="AF11" s="23" t="n">
        <f aca="false">COUNTIF($AE$2:$AE$218,AE11)</f>
        <v>0</v>
      </c>
      <c r="AH11" s="24"/>
      <c r="AY11" s="22"/>
      <c r="AZ11" s="22"/>
      <c r="BA11" s="22"/>
      <c r="BB11" s="22"/>
      <c r="BC11" s="22"/>
      <c r="BD11" s="22"/>
      <c r="BE11" s="22"/>
      <c r="BF11" s="22"/>
      <c r="BG11" s="0"/>
      <c r="BH11" s="0"/>
    </row>
    <row r="12" s="23" customFormat="true" ht="24" hidden="false" customHeight="true" outlineLevel="0" collapsed="false">
      <c r="A12" s="23" t="s">
        <v>50</v>
      </c>
      <c r="B12" s="23" t="s">
        <v>50</v>
      </c>
      <c r="C12" s="24" t="s">
        <v>51</v>
      </c>
      <c r="D12" s="24"/>
      <c r="E12" s="23" t="s">
        <v>63</v>
      </c>
      <c r="F12" s="23" t="s">
        <v>63</v>
      </c>
      <c r="G12" s="24" t="s">
        <v>64</v>
      </c>
      <c r="H12" s="23" t="s">
        <v>52</v>
      </c>
      <c r="I12" s="23" t="s">
        <v>69</v>
      </c>
      <c r="J12" s="23" t="s">
        <v>52</v>
      </c>
      <c r="K12" s="23" t="s">
        <v>70</v>
      </c>
      <c r="L12" s="23" t="s">
        <v>71</v>
      </c>
      <c r="M12" s="23" t="s">
        <v>72</v>
      </c>
      <c r="N12" s="23" t="s">
        <v>73</v>
      </c>
      <c r="O12" s="23" t="s">
        <v>73</v>
      </c>
      <c r="P12" s="24" t="s">
        <v>74</v>
      </c>
      <c r="Q12" s="23" t="s">
        <v>86</v>
      </c>
      <c r="R12" s="24" t="s">
        <v>86</v>
      </c>
      <c r="S12" s="24" t="s">
        <v>87</v>
      </c>
      <c r="T12" s="23" t="n">
        <v>2</v>
      </c>
      <c r="U12" s="22" t="s">
        <v>77</v>
      </c>
      <c r="V12" s="23" t="s">
        <v>85</v>
      </c>
      <c r="Y12" s="23" t="s">
        <v>80</v>
      </c>
      <c r="AF12" s="23" t="n">
        <f aca="false">COUNTIF($AE$2:$AE$218,AE12)</f>
        <v>0</v>
      </c>
      <c r="AH12" s="24"/>
      <c r="AY12" s="22"/>
      <c r="AZ12" s="22"/>
      <c r="BA12" s="22"/>
      <c r="BB12" s="22"/>
      <c r="BC12" s="22"/>
      <c r="BD12" s="22"/>
      <c r="BE12" s="22"/>
      <c r="BF12" s="22"/>
      <c r="BG12" s="0"/>
      <c r="BH12" s="0"/>
    </row>
    <row r="13" s="23" customFormat="true" ht="24" hidden="false" customHeight="true" outlineLevel="0" collapsed="false">
      <c r="A13" s="23" t="s">
        <v>50</v>
      </c>
      <c r="B13" s="23" t="s">
        <v>50</v>
      </c>
      <c r="C13" s="24" t="s">
        <v>51</v>
      </c>
      <c r="D13" s="24"/>
      <c r="E13" s="23" t="s">
        <v>63</v>
      </c>
      <c r="F13" s="23" t="s">
        <v>63</v>
      </c>
      <c r="G13" s="24" t="s">
        <v>64</v>
      </c>
      <c r="H13" s="23" t="s">
        <v>52</v>
      </c>
      <c r="I13" s="23" t="s">
        <v>69</v>
      </c>
      <c r="J13" s="23" t="s">
        <v>52</v>
      </c>
      <c r="K13" s="23" t="s">
        <v>70</v>
      </c>
      <c r="L13" s="23" t="s">
        <v>71</v>
      </c>
      <c r="M13" s="23" t="s">
        <v>72</v>
      </c>
      <c r="N13" s="23" t="s">
        <v>73</v>
      </c>
      <c r="O13" s="23" t="s">
        <v>73</v>
      </c>
      <c r="P13" s="24" t="s">
        <v>74</v>
      </c>
      <c r="Q13" s="23" t="s">
        <v>88</v>
      </c>
      <c r="R13" s="24" t="s">
        <v>88</v>
      </c>
      <c r="S13" s="24" t="s">
        <v>89</v>
      </c>
      <c r="T13" s="23" t="n">
        <v>3</v>
      </c>
      <c r="U13" s="22" t="s">
        <v>77</v>
      </c>
      <c r="V13" s="23" t="s">
        <v>85</v>
      </c>
      <c r="W13" s="23" t="s">
        <v>90</v>
      </c>
      <c r="Y13" s="23" t="s">
        <v>80</v>
      </c>
      <c r="AF13" s="23" t="n">
        <f aca="false">COUNTIF($AE$2:$AE$218,AE13)</f>
        <v>0</v>
      </c>
      <c r="AH13" s="24"/>
      <c r="AY13" s="22"/>
      <c r="AZ13" s="22"/>
      <c r="BA13" s="22"/>
      <c r="BB13" s="22"/>
      <c r="BC13" s="22"/>
      <c r="BD13" s="22"/>
      <c r="BE13" s="22"/>
      <c r="BF13" s="22"/>
      <c r="BG13" s="0"/>
      <c r="BH13" s="0"/>
    </row>
    <row r="14" s="23" customFormat="true" ht="24" hidden="false" customHeight="true" outlineLevel="0" collapsed="false">
      <c r="A14" s="23" t="s">
        <v>50</v>
      </c>
      <c r="B14" s="23" t="s">
        <v>50</v>
      </c>
      <c r="C14" s="24" t="s">
        <v>51</v>
      </c>
      <c r="D14" s="24"/>
      <c r="E14" s="23" t="s">
        <v>63</v>
      </c>
      <c r="F14" s="23" t="s">
        <v>63</v>
      </c>
      <c r="G14" s="24" t="s">
        <v>64</v>
      </c>
      <c r="H14" s="23" t="s">
        <v>52</v>
      </c>
      <c r="I14" s="23" t="s">
        <v>69</v>
      </c>
      <c r="J14" s="23" t="s">
        <v>52</v>
      </c>
      <c r="K14" s="23" t="s">
        <v>70</v>
      </c>
      <c r="L14" s="23" t="s">
        <v>71</v>
      </c>
      <c r="M14" s="23" t="s">
        <v>72</v>
      </c>
      <c r="N14" s="23" t="s">
        <v>73</v>
      </c>
      <c r="O14" s="23" t="s">
        <v>73</v>
      </c>
      <c r="P14" s="24" t="s">
        <v>74</v>
      </c>
      <c r="Q14" s="23" t="s">
        <v>91</v>
      </c>
      <c r="R14" s="24" t="s">
        <v>91</v>
      </c>
      <c r="S14" s="24" t="s">
        <v>92</v>
      </c>
      <c r="T14" s="23" t="n">
        <v>4</v>
      </c>
      <c r="U14" s="22" t="s">
        <v>77</v>
      </c>
      <c r="V14" s="23" t="s">
        <v>85</v>
      </c>
      <c r="W14" s="23" t="s">
        <v>93</v>
      </c>
      <c r="Y14" s="23" t="s">
        <v>80</v>
      </c>
      <c r="AF14" s="23" t="n">
        <f aca="false">COUNTIF($AE$2:$AE$218,AE14)</f>
        <v>0</v>
      </c>
      <c r="AH14" s="24"/>
      <c r="AY14" s="22"/>
      <c r="AZ14" s="22"/>
      <c r="BA14" s="22"/>
      <c r="BB14" s="22"/>
      <c r="BC14" s="22"/>
      <c r="BD14" s="22"/>
      <c r="BE14" s="22"/>
      <c r="BF14" s="22"/>
      <c r="BG14" s="0"/>
      <c r="BH14" s="0"/>
    </row>
    <row r="15" s="23" customFormat="true" ht="24" hidden="false" customHeight="true" outlineLevel="0" collapsed="false">
      <c r="A15" s="23" t="s">
        <v>50</v>
      </c>
      <c r="B15" s="23" t="s">
        <v>50</v>
      </c>
      <c r="C15" s="24" t="s">
        <v>51</v>
      </c>
      <c r="D15" s="24"/>
      <c r="E15" s="23" t="s">
        <v>63</v>
      </c>
      <c r="F15" s="23" t="s">
        <v>63</v>
      </c>
      <c r="G15" s="24" t="s">
        <v>64</v>
      </c>
      <c r="H15" s="23" t="s">
        <v>52</v>
      </c>
      <c r="I15" s="23" t="s">
        <v>69</v>
      </c>
      <c r="J15" s="23" t="s">
        <v>52</v>
      </c>
      <c r="K15" s="23" t="s">
        <v>70</v>
      </c>
      <c r="L15" s="23" t="s">
        <v>71</v>
      </c>
      <c r="M15" s="23" t="s">
        <v>72</v>
      </c>
      <c r="N15" s="23" t="s">
        <v>73</v>
      </c>
      <c r="O15" s="23" t="s">
        <v>73</v>
      </c>
      <c r="P15" s="24" t="s">
        <v>74</v>
      </c>
      <c r="Q15" s="23" t="s">
        <v>94</v>
      </c>
      <c r="R15" s="24" t="s">
        <v>94</v>
      </c>
      <c r="S15" s="24" t="s">
        <v>95</v>
      </c>
      <c r="T15" s="23" t="n">
        <v>5</v>
      </c>
      <c r="U15" s="22" t="s">
        <v>77</v>
      </c>
      <c r="V15" s="23" t="s">
        <v>85</v>
      </c>
      <c r="Y15" s="23" t="s">
        <v>80</v>
      </c>
      <c r="AF15" s="23" t="n">
        <f aca="false">COUNTIF($AE$2:$AE$218,AE15)</f>
        <v>0</v>
      </c>
      <c r="AH15" s="24"/>
      <c r="AY15" s="22"/>
      <c r="AZ15" s="22"/>
      <c r="BA15" s="22"/>
      <c r="BB15" s="22"/>
      <c r="BC15" s="22"/>
      <c r="BD15" s="22"/>
      <c r="BE15" s="22"/>
      <c r="BF15" s="22"/>
      <c r="BG15" s="0"/>
      <c r="BH15" s="0"/>
    </row>
    <row r="16" s="23" customFormat="true" ht="24" hidden="false" customHeight="true" outlineLevel="0" collapsed="false">
      <c r="A16" s="23" t="s">
        <v>50</v>
      </c>
      <c r="B16" s="23" t="s">
        <v>50</v>
      </c>
      <c r="C16" s="24" t="s">
        <v>51</v>
      </c>
      <c r="D16" s="24"/>
      <c r="E16" s="23" t="s">
        <v>63</v>
      </c>
      <c r="F16" s="23" t="s">
        <v>63</v>
      </c>
      <c r="G16" s="24" t="s">
        <v>64</v>
      </c>
      <c r="H16" s="23" t="s">
        <v>52</v>
      </c>
      <c r="I16" s="23" t="s">
        <v>69</v>
      </c>
      <c r="J16" s="23" t="s">
        <v>52</v>
      </c>
      <c r="K16" s="23" t="s">
        <v>70</v>
      </c>
      <c r="L16" s="23" t="s">
        <v>71</v>
      </c>
      <c r="M16" s="23" t="s">
        <v>72</v>
      </c>
      <c r="N16" s="23" t="s">
        <v>73</v>
      </c>
      <c r="O16" s="23" t="s">
        <v>73</v>
      </c>
      <c r="P16" s="24" t="s">
        <v>74</v>
      </c>
      <c r="Q16" s="23" t="s">
        <v>96</v>
      </c>
      <c r="R16" s="24" t="s">
        <v>96</v>
      </c>
      <c r="S16" s="24" t="s">
        <v>97</v>
      </c>
      <c r="T16" s="23" t="n">
        <v>6</v>
      </c>
      <c r="U16" s="22" t="s">
        <v>77</v>
      </c>
      <c r="V16" s="23" t="s">
        <v>85</v>
      </c>
      <c r="Y16" s="23" t="s">
        <v>80</v>
      </c>
      <c r="AF16" s="23" t="n">
        <f aca="false">COUNTIF($AE$2:$AE$218,AE16)</f>
        <v>0</v>
      </c>
      <c r="AH16" s="24"/>
      <c r="AY16" s="22"/>
      <c r="AZ16" s="22"/>
      <c r="BA16" s="22"/>
      <c r="BB16" s="22"/>
      <c r="BC16" s="22"/>
      <c r="BD16" s="22"/>
      <c r="BE16" s="22"/>
      <c r="BF16" s="22"/>
      <c r="BG16" s="0"/>
      <c r="BH16" s="0"/>
    </row>
    <row r="17" s="23" customFormat="true" ht="24" hidden="false" customHeight="true" outlineLevel="0" collapsed="false">
      <c r="A17" s="23" t="s">
        <v>50</v>
      </c>
      <c r="B17" s="23" t="s">
        <v>50</v>
      </c>
      <c r="C17" s="24" t="s">
        <v>51</v>
      </c>
      <c r="D17" s="24"/>
      <c r="E17" s="23" t="s">
        <v>63</v>
      </c>
      <c r="F17" s="23" t="s">
        <v>63</v>
      </c>
      <c r="G17" s="24" t="s">
        <v>64</v>
      </c>
      <c r="H17" s="23" t="s">
        <v>52</v>
      </c>
      <c r="I17" s="23" t="s">
        <v>69</v>
      </c>
      <c r="J17" s="23" t="s">
        <v>52</v>
      </c>
      <c r="K17" s="23" t="s">
        <v>70</v>
      </c>
      <c r="L17" s="23" t="s">
        <v>71</v>
      </c>
      <c r="M17" s="23" t="s">
        <v>72</v>
      </c>
      <c r="N17" s="23" t="s">
        <v>73</v>
      </c>
      <c r="O17" s="23" t="s">
        <v>73</v>
      </c>
      <c r="P17" s="24" t="s">
        <v>74</v>
      </c>
      <c r="Q17" s="23" t="s">
        <v>98</v>
      </c>
      <c r="R17" s="24" t="s">
        <v>98</v>
      </c>
      <c r="S17" s="24" t="s">
        <v>99</v>
      </c>
      <c r="T17" s="23" t="n">
        <v>7</v>
      </c>
      <c r="U17" s="22" t="s">
        <v>77</v>
      </c>
      <c r="V17" s="23" t="s">
        <v>85</v>
      </c>
      <c r="Y17" s="23" t="s">
        <v>80</v>
      </c>
      <c r="AF17" s="23" t="n">
        <f aca="false">COUNTIF($AE$2:$AE$218,AE17)</f>
        <v>0</v>
      </c>
      <c r="AH17" s="24"/>
      <c r="AY17" s="22"/>
      <c r="AZ17" s="22"/>
      <c r="BA17" s="22"/>
      <c r="BB17" s="22"/>
      <c r="BC17" s="22"/>
      <c r="BD17" s="22"/>
      <c r="BE17" s="22"/>
      <c r="BF17" s="22"/>
      <c r="BG17" s="0"/>
      <c r="BH17" s="0"/>
    </row>
    <row r="18" s="23" customFormat="true" ht="24" hidden="false" customHeight="true" outlineLevel="0" collapsed="false">
      <c r="A18" s="23" t="s">
        <v>50</v>
      </c>
      <c r="B18" s="23" t="s">
        <v>50</v>
      </c>
      <c r="C18" s="24" t="s">
        <v>51</v>
      </c>
      <c r="D18" s="24"/>
      <c r="E18" s="23" t="s">
        <v>63</v>
      </c>
      <c r="F18" s="23" t="s">
        <v>63</v>
      </c>
      <c r="G18" s="24" t="s">
        <v>64</v>
      </c>
      <c r="H18" s="23" t="s">
        <v>52</v>
      </c>
      <c r="I18" s="23" t="s">
        <v>69</v>
      </c>
      <c r="J18" s="23" t="s">
        <v>52</v>
      </c>
      <c r="K18" s="23" t="s">
        <v>70</v>
      </c>
      <c r="L18" s="23" t="s">
        <v>71</v>
      </c>
      <c r="M18" s="23" t="s">
        <v>72</v>
      </c>
      <c r="N18" s="23" t="s">
        <v>73</v>
      </c>
      <c r="O18" s="23" t="s">
        <v>73</v>
      </c>
      <c r="P18" s="24" t="s">
        <v>74</v>
      </c>
      <c r="Q18" s="23" t="s">
        <v>100</v>
      </c>
      <c r="R18" s="24" t="s">
        <v>100</v>
      </c>
      <c r="S18" s="24" t="s">
        <v>101</v>
      </c>
      <c r="T18" s="23" t="n">
        <v>8</v>
      </c>
      <c r="U18" s="22" t="s">
        <v>77</v>
      </c>
      <c r="V18" s="23" t="s">
        <v>85</v>
      </c>
      <c r="Y18" s="23" t="s">
        <v>80</v>
      </c>
      <c r="AF18" s="23" t="n">
        <f aca="false">COUNTIF($AE$2:$AE$218,AE18)</f>
        <v>0</v>
      </c>
      <c r="AH18" s="24"/>
      <c r="AY18" s="22"/>
      <c r="AZ18" s="22"/>
      <c r="BA18" s="22"/>
      <c r="BB18" s="22"/>
      <c r="BC18" s="22"/>
      <c r="BD18" s="22"/>
      <c r="BE18" s="22"/>
      <c r="BF18" s="22"/>
      <c r="BG18" s="0"/>
      <c r="BH18" s="0"/>
    </row>
    <row r="19" s="23" customFormat="true" ht="24" hidden="false" customHeight="true" outlineLevel="0" collapsed="false">
      <c r="A19" s="23" t="s">
        <v>50</v>
      </c>
      <c r="B19" s="23" t="s">
        <v>50</v>
      </c>
      <c r="C19" s="24" t="s">
        <v>51</v>
      </c>
      <c r="D19" s="24"/>
      <c r="E19" s="23" t="s">
        <v>63</v>
      </c>
      <c r="F19" s="23" t="s">
        <v>63</v>
      </c>
      <c r="G19" s="24" t="s">
        <v>64</v>
      </c>
      <c r="H19" s="23" t="s">
        <v>52</v>
      </c>
      <c r="I19" s="23" t="s">
        <v>69</v>
      </c>
      <c r="J19" s="23" t="s">
        <v>52</v>
      </c>
      <c r="K19" s="23" t="s">
        <v>70</v>
      </c>
      <c r="L19" s="23" t="s">
        <v>71</v>
      </c>
      <c r="M19" s="23" t="s">
        <v>72</v>
      </c>
      <c r="N19" s="23" t="s">
        <v>73</v>
      </c>
      <c r="O19" s="23" t="s">
        <v>73</v>
      </c>
      <c r="P19" s="24" t="s">
        <v>74</v>
      </c>
      <c r="Q19" s="23" t="s">
        <v>102</v>
      </c>
      <c r="R19" s="24" t="s">
        <v>102</v>
      </c>
      <c r="S19" s="24" t="s">
        <v>103</v>
      </c>
      <c r="T19" s="23" t="n">
        <v>9</v>
      </c>
      <c r="U19" s="22" t="s">
        <v>77</v>
      </c>
      <c r="V19" s="23" t="s">
        <v>85</v>
      </c>
      <c r="Y19" s="23" t="s">
        <v>80</v>
      </c>
      <c r="AF19" s="23" t="n">
        <f aca="false">COUNTIF($AE$2:$AE$218,AE19)</f>
        <v>0</v>
      </c>
      <c r="AH19" s="24"/>
      <c r="AY19" s="22"/>
      <c r="AZ19" s="22"/>
      <c r="BA19" s="22"/>
      <c r="BB19" s="22"/>
      <c r="BC19" s="22"/>
      <c r="BD19" s="22"/>
      <c r="BE19" s="22"/>
      <c r="BF19" s="22"/>
      <c r="BG19" s="0"/>
      <c r="BH19" s="0"/>
    </row>
    <row r="20" s="23" customFormat="true" ht="24" hidden="false" customHeight="true" outlineLevel="0" collapsed="false">
      <c r="A20" s="23" t="s">
        <v>50</v>
      </c>
      <c r="B20" s="23" t="s">
        <v>50</v>
      </c>
      <c r="C20" s="24" t="s">
        <v>51</v>
      </c>
      <c r="D20" s="24"/>
      <c r="E20" s="23" t="s">
        <v>63</v>
      </c>
      <c r="F20" s="23" t="s">
        <v>63</v>
      </c>
      <c r="G20" s="24" t="s">
        <v>64</v>
      </c>
      <c r="H20" s="23" t="s">
        <v>52</v>
      </c>
      <c r="I20" s="23" t="s">
        <v>69</v>
      </c>
      <c r="J20" s="23" t="s">
        <v>52</v>
      </c>
      <c r="K20" s="23" t="s">
        <v>70</v>
      </c>
      <c r="L20" s="23" t="s">
        <v>71</v>
      </c>
      <c r="M20" s="23" t="s">
        <v>72</v>
      </c>
      <c r="N20" s="23" t="s">
        <v>73</v>
      </c>
      <c r="O20" s="23" t="s">
        <v>73</v>
      </c>
      <c r="P20" s="24" t="s">
        <v>74</v>
      </c>
      <c r="Q20" s="23" t="s">
        <v>104</v>
      </c>
      <c r="R20" s="24" t="s">
        <v>104</v>
      </c>
      <c r="S20" s="24" t="s">
        <v>105</v>
      </c>
      <c r="T20" s="23" t="n">
        <v>10</v>
      </c>
      <c r="U20" s="22" t="s">
        <v>77</v>
      </c>
      <c r="V20" s="23" t="s">
        <v>85</v>
      </c>
      <c r="Y20" s="23" t="s">
        <v>80</v>
      </c>
      <c r="AF20" s="23" t="n">
        <f aca="false">COUNTIF($AE$2:$AE$218,AE20)</f>
        <v>0</v>
      </c>
      <c r="AH20" s="24"/>
      <c r="AY20" s="22"/>
      <c r="AZ20" s="22"/>
      <c r="BA20" s="22"/>
      <c r="BB20" s="22"/>
      <c r="BC20" s="22"/>
      <c r="BD20" s="22"/>
      <c r="BE20" s="22"/>
      <c r="BF20" s="22"/>
      <c r="BG20" s="0"/>
      <c r="BH20" s="0"/>
    </row>
    <row r="21" s="23" customFormat="true" ht="24" hidden="false" customHeight="true" outlineLevel="0" collapsed="false">
      <c r="A21" s="23" t="s">
        <v>50</v>
      </c>
      <c r="B21" s="23" t="s">
        <v>50</v>
      </c>
      <c r="C21" s="24" t="s">
        <v>51</v>
      </c>
      <c r="D21" s="24"/>
      <c r="E21" s="23" t="s">
        <v>63</v>
      </c>
      <c r="F21" s="23" t="s">
        <v>63</v>
      </c>
      <c r="G21" s="24" t="s">
        <v>64</v>
      </c>
      <c r="H21" s="23" t="s">
        <v>52</v>
      </c>
      <c r="I21" s="23" t="s">
        <v>69</v>
      </c>
      <c r="J21" s="23" t="s">
        <v>52</v>
      </c>
      <c r="K21" s="23" t="s">
        <v>70</v>
      </c>
      <c r="L21" s="23" t="s">
        <v>71</v>
      </c>
      <c r="M21" s="23" t="s">
        <v>72</v>
      </c>
      <c r="N21" s="23" t="s">
        <v>73</v>
      </c>
      <c r="O21" s="23" t="s">
        <v>73</v>
      </c>
      <c r="P21" s="24" t="s">
        <v>74</v>
      </c>
      <c r="Q21" s="23" t="s">
        <v>106</v>
      </c>
      <c r="R21" s="24" t="s">
        <v>106</v>
      </c>
      <c r="S21" s="24" t="s">
        <v>107</v>
      </c>
      <c r="T21" s="23" t="n">
        <v>11</v>
      </c>
      <c r="U21" s="22" t="s">
        <v>77</v>
      </c>
      <c r="V21" s="23" t="s">
        <v>85</v>
      </c>
      <c r="Y21" s="23" t="s">
        <v>80</v>
      </c>
      <c r="AF21" s="23" t="n">
        <f aca="false">COUNTIF($AE$2:$AE$218,AE21)</f>
        <v>0</v>
      </c>
      <c r="AH21" s="24"/>
      <c r="AY21" s="22"/>
      <c r="AZ21" s="22"/>
      <c r="BA21" s="22"/>
      <c r="BB21" s="22"/>
      <c r="BC21" s="22"/>
      <c r="BD21" s="22"/>
      <c r="BE21" s="22"/>
      <c r="BF21" s="22"/>
      <c r="BG21" s="0"/>
      <c r="BH21" s="0"/>
    </row>
    <row r="22" s="23" customFormat="true" ht="24" hidden="false" customHeight="true" outlineLevel="0" collapsed="false">
      <c r="A22" s="23" t="s">
        <v>50</v>
      </c>
      <c r="B22" s="23" t="s">
        <v>50</v>
      </c>
      <c r="C22" s="24" t="s">
        <v>51</v>
      </c>
      <c r="D22" s="24"/>
      <c r="E22" s="23" t="s">
        <v>63</v>
      </c>
      <c r="F22" s="23" t="s">
        <v>63</v>
      </c>
      <c r="G22" s="24" t="s">
        <v>64</v>
      </c>
      <c r="H22" s="23" t="s">
        <v>52</v>
      </c>
      <c r="I22" s="23" t="s">
        <v>69</v>
      </c>
      <c r="J22" s="23" t="s">
        <v>52</v>
      </c>
      <c r="K22" s="23" t="s">
        <v>70</v>
      </c>
      <c r="L22" s="23" t="s">
        <v>71</v>
      </c>
      <c r="M22" s="23" t="s">
        <v>72</v>
      </c>
      <c r="N22" s="23" t="s">
        <v>73</v>
      </c>
      <c r="O22" s="23" t="s">
        <v>73</v>
      </c>
      <c r="P22" s="24" t="s">
        <v>74</v>
      </c>
      <c r="Q22" s="23" t="s">
        <v>108</v>
      </c>
      <c r="R22" s="24" t="s">
        <v>108</v>
      </c>
      <c r="S22" s="24" t="s">
        <v>109</v>
      </c>
      <c r="T22" s="23" t="n">
        <v>12</v>
      </c>
      <c r="U22" s="22" t="s">
        <v>77</v>
      </c>
      <c r="V22" s="23" t="s">
        <v>85</v>
      </c>
      <c r="Y22" s="23" t="s">
        <v>80</v>
      </c>
      <c r="AF22" s="23" t="n">
        <f aca="false">COUNTIF($AE$2:$AE$218,AE22)</f>
        <v>0</v>
      </c>
      <c r="AH22" s="24"/>
      <c r="AY22" s="22"/>
      <c r="AZ22" s="22"/>
      <c r="BA22" s="22"/>
      <c r="BB22" s="22"/>
      <c r="BC22" s="22"/>
      <c r="BD22" s="22"/>
      <c r="BE22" s="22"/>
      <c r="BF22" s="22"/>
      <c r="BG22" s="0"/>
      <c r="BH22" s="0"/>
    </row>
    <row r="23" s="23" customFormat="true" ht="24" hidden="false" customHeight="true" outlineLevel="0" collapsed="false">
      <c r="A23" s="23" t="s">
        <v>50</v>
      </c>
      <c r="B23" s="23" t="s">
        <v>50</v>
      </c>
      <c r="C23" s="24" t="s">
        <v>51</v>
      </c>
      <c r="D23" s="24"/>
      <c r="E23" s="23" t="s">
        <v>63</v>
      </c>
      <c r="F23" s="23" t="s">
        <v>63</v>
      </c>
      <c r="G23" s="24" t="s">
        <v>64</v>
      </c>
      <c r="H23" s="23" t="s">
        <v>52</v>
      </c>
      <c r="I23" s="23" t="s">
        <v>69</v>
      </c>
      <c r="J23" s="23" t="s">
        <v>52</v>
      </c>
      <c r="K23" s="23" t="s">
        <v>70</v>
      </c>
      <c r="L23" s="23" t="s">
        <v>71</v>
      </c>
      <c r="M23" s="23" t="s">
        <v>72</v>
      </c>
      <c r="N23" s="23" t="s">
        <v>73</v>
      </c>
      <c r="O23" s="23" t="s">
        <v>73</v>
      </c>
      <c r="P23" s="24" t="s">
        <v>74</v>
      </c>
      <c r="Q23" s="23" t="s">
        <v>110</v>
      </c>
      <c r="R23" s="24" t="s">
        <v>110</v>
      </c>
      <c r="S23" s="24" t="s">
        <v>111</v>
      </c>
      <c r="T23" s="23" t="n">
        <v>13</v>
      </c>
      <c r="U23" s="22" t="s">
        <v>77</v>
      </c>
      <c r="V23" s="23" t="s">
        <v>85</v>
      </c>
      <c r="Y23" s="23" t="s">
        <v>80</v>
      </c>
      <c r="AF23" s="23" t="n">
        <f aca="false">COUNTIF($AE$2:$AE$218,AE23)</f>
        <v>0</v>
      </c>
      <c r="AH23" s="24"/>
      <c r="AY23" s="22"/>
      <c r="AZ23" s="22"/>
      <c r="BA23" s="22"/>
      <c r="BB23" s="22"/>
      <c r="BC23" s="22"/>
      <c r="BD23" s="22"/>
      <c r="BE23" s="22"/>
      <c r="BF23" s="22"/>
      <c r="BG23" s="0"/>
      <c r="BH23" s="0"/>
    </row>
    <row r="24" s="23" customFormat="true" ht="24" hidden="false" customHeight="true" outlineLevel="0" collapsed="false">
      <c r="A24" s="23" t="s">
        <v>50</v>
      </c>
      <c r="B24" s="23" t="s">
        <v>50</v>
      </c>
      <c r="C24" s="24" t="s">
        <v>51</v>
      </c>
      <c r="D24" s="24"/>
      <c r="E24" s="23" t="s">
        <v>63</v>
      </c>
      <c r="F24" s="23" t="s">
        <v>63</v>
      </c>
      <c r="G24" s="24" t="s">
        <v>64</v>
      </c>
      <c r="H24" s="23" t="s">
        <v>52</v>
      </c>
      <c r="I24" s="23" t="s">
        <v>69</v>
      </c>
      <c r="J24" s="23" t="s">
        <v>52</v>
      </c>
      <c r="K24" s="23" t="s">
        <v>70</v>
      </c>
      <c r="L24" s="23" t="s">
        <v>71</v>
      </c>
      <c r="M24" s="23" t="s">
        <v>72</v>
      </c>
      <c r="N24" s="23" t="s">
        <v>73</v>
      </c>
      <c r="O24" s="23" t="s">
        <v>73</v>
      </c>
      <c r="P24" s="24" t="s">
        <v>74</v>
      </c>
      <c r="Q24" s="23" t="s">
        <v>112</v>
      </c>
      <c r="R24" s="24" t="s">
        <v>112</v>
      </c>
      <c r="S24" s="24" t="s">
        <v>113</v>
      </c>
      <c r="T24" s="23" t="n">
        <v>14</v>
      </c>
      <c r="U24" s="22" t="s">
        <v>77</v>
      </c>
      <c r="V24" s="23" t="s">
        <v>85</v>
      </c>
      <c r="Y24" s="23" t="s">
        <v>80</v>
      </c>
      <c r="AF24" s="23" t="n">
        <f aca="false">COUNTIF($AE$2:$AE$218,AE24)</f>
        <v>0</v>
      </c>
      <c r="AH24" s="24"/>
      <c r="AY24" s="22"/>
      <c r="AZ24" s="22"/>
      <c r="BA24" s="22"/>
      <c r="BB24" s="22"/>
      <c r="BC24" s="22"/>
      <c r="BD24" s="22"/>
      <c r="BE24" s="22"/>
      <c r="BF24" s="22"/>
      <c r="BG24" s="0"/>
      <c r="BH24" s="0"/>
    </row>
    <row r="25" s="23" customFormat="true" ht="24" hidden="false" customHeight="true" outlineLevel="0" collapsed="false">
      <c r="A25" s="23" t="s">
        <v>50</v>
      </c>
      <c r="B25" s="23" t="s">
        <v>50</v>
      </c>
      <c r="C25" s="24" t="s">
        <v>51</v>
      </c>
      <c r="D25" s="24"/>
      <c r="E25" s="23" t="s">
        <v>63</v>
      </c>
      <c r="F25" s="23" t="s">
        <v>63</v>
      </c>
      <c r="G25" s="24" t="s">
        <v>64</v>
      </c>
      <c r="H25" s="23" t="s">
        <v>52</v>
      </c>
      <c r="I25" s="23" t="s">
        <v>69</v>
      </c>
      <c r="J25" s="23" t="s">
        <v>52</v>
      </c>
      <c r="K25" s="23" t="s">
        <v>70</v>
      </c>
      <c r="L25" s="23" t="s">
        <v>71</v>
      </c>
      <c r="M25" s="23" t="s">
        <v>72</v>
      </c>
      <c r="N25" s="23" t="s">
        <v>73</v>
      </c>
      <c r="O25" s="23" t="s">
        <v>73</v>
      </c>
      <c r="P25" s="24" t="s">
        <v>74</v>
      </c>
      <c r="Q25" s="23" t="s">
        <v>114</v>
      </c>
      <c r="R25" s="24" t="s">
        <v>114</v>
      </c>
      <c r="S25" s="24" t="s">
        <v>115</v>
      </c>
      <c r="T25" s="23" t="n">
        <v>15</v>
      </c>
      <c r="U25" s="22" t="s">
        <v>77</v>
      </c>
      <c r="V25" s="23" t="s">
        <v>85</v>
      </c>
      <c r="Y25" s="23" t="s">
        <v>80</v>
      </c>
      <c r="AF25" s="23" t="n">
        <f aca="false">COUNTIF($AE$2:$AE$218,AE25)</f>
        <v>0</v>
      </c>
      <c r="AH25" s="24"/>
      <c r="AY25" s="22"/>
      <c r="AZ25" s="22"/>
      <c r="BA25" s="22"/>
      <c r="BB25" s="22"/>
      <c r="BC25" s="22"/>
      <c r="BD25" s="22"/>
      <c r="BE25" s="22"/>
      <c r="BF25" s="22"/>
      <c r="BG25" s="0"/>
      <c r="BH25" s="0"/>
    </row>
    <row r="26" s="23" customFormat="true" ht="24" hidden="false" customHeight="true" outlineLevel="0" collapsed="false">
      <c r="A26" s="23" t="s">
        <v>50</v>
      </c>
      <c r="B26" s="23" t="s">
        <v>50</v>
      </c>
      <c r="C26" s="24" t="s">
        <v>51</v>
      </c>
      <c r="D26" s="24"/>
      <c r="E26" s="23" t="s">
        <v>63</v>
      </c>
      <c r="F26" s="23" t="s">
        <v>63</v>
      </c>
      <c r="G26" s="24" t="s">
        <v>64</v>
      </c>
      <c r="H26" s="23" t="s">
        <v>52</v>
      </c>
      <c r="I26" s="23" t="s">
        <v>69</v>
      </c>
      <c r="J26" s="23" t="s">
        <v>52</v>
      </c>
      <c r="K26" s="23" t="s">
        <v>70</v>
      </c>
      <c r="L26" s="23" t="s">
        <v>71</v>
      </c>
      <c r="M26" s="23" t="s">
        <v>72</v>
      </c>
      <c r="N26" s="23" t="s">
        <v>73</v>
      </c>
      <c r="O26" s="23" t="s">
        <v>73</v>
      </c>
      <c r="P26" s="24" t="s">
        <v>74</v>
      </c>
      <c r="Q26" s="23" t="s">
        <v>116</v>
      </c>
      <c r="R26" s="24" t="s">
        <v>116</v>
      </c>
      <c r="S26" s="24" t="s">
        <v>117</v>
      </c>
      <c r="T26" s="23" t="n">
        <v>16</v>
      </c>
      <c r="U26" s="22" t="s">
        <v>77</v>
      </c>
      <c r="V26" s="23" t="s">
        <v>85</v>
      </c>
      <c r="Y26" s="23" t="s">
        <v>80</v>
      </c>
      <c r="AF26" s="23" t="n">
        <f aca="false">COUNTIF($AE$2:$AE$218,AE26)</f>
        <v>0</v>
      </c>
      <c r="AH26" s="24"/>
      <c r="AY26" s="22"/>
      <c r="AZ26" s="22"/>
      <c r="BA26" s="22"/>
      <c r="BB26" s="22"/>
      <c r="BC26" s="22"/>
      <c r="BD26" s="22"/>
      <c r="BE26" s="22"/>
      <c r="BF26" s="22"/>
      <c r="BG26" s="0"/>
      <c r="BH26" s="0"/>
    </row>
    <row r="27" s="23" customFormat="true" ht="24" hidden="false" customHeight="true" outlineLevel="0" collapsed="false">
      <c r="A27" s="23" t="s">
        <v>50</v>
      </c>
      <c r="B27" s="23" t="s">
        <v>50</v>
      </c>
      <c r="C27" s="24" t="s">
        <v>51</v>
      </c>
      <c r="D27" s="24"/>
      <c r="E27" s="23" t="s">
        <v>63</v>
      </c>
      <c r="F27" s="23" t="s">
        <v>63</v>
      </c>
      <c r="G27" s="24" t="s">
        <v>64</v>
      </c>
      <c r="H27" s="23" t="s">
        <v>52</v>
      </c>
      <c r="I27" s="23" t="s">
        <v>69</v>
      </c>
      <c r="J27" s="23" t="s">
        <v>52</v>
      </c>
      <c r="K27" s="23" t="s">
        <v>70</v>
      </c>
      <c r="L27" s="23" t="s">
        <v>71</v>
      </c>
      <c r="M27" s="23" t="s">
        <v>72</v>
      </c>
      <c r="N27" s="23" t="s">
        <v>73</v>
      </c>
      <c r="O27" s="23" t="s">
        <v>73</v>
      </c>
      <c r="P27" s="24" t="s">
        <v>74</v>
      </c>
      <c r="Q27" s="23" t="s">
        <v>118</v>
      </c>
      <c r="R27" s="24" t="s">
        <v>118</v>
      </c>
      <c r="S27" s="24" t="s">
        <v>119</v>
      </c>
      <c r="T27" s="23" t="n">
        <v>17</v>
      </c>
      <c r="U27" s="22" t="s">
        <v>77</v>
      </c>
      <c r="V27" s="23" t="s">
        <v>85</v>
      </c>
      <c r="Y27" s="23" t="s">
        <v>80</v>
      </c>
      <c r="AF27" s="23" t="n">
        <f aca="false">COUNTIF($AE$2:$AE$218,AE27)</f>
        <v>0</v>
      </c>
      <c r="AH27" s="24"/>
      <c r="AY27" s="22"/>
      <c r="AZ27" s="22"/>
      <c r="BA27" s="22"/>
      <c r="BB27" s="22"/>
      <c r="BC27" s="22"/>
      <c r="BD27" s="22"/>
      <c r="BE27" s="22"/>
      <c r="BF27" s="22"/>
      <c r="BG27" s="0"/>
      <c r="BH27" s="0"/>
    </row>
    <row r="28" s="23" customFormat="true" ht="24" hidden="false" customHeight="true" outlineLevel="0" collapsed="false">
      <c r="A28" s="23" t="s">
        <v>50</v>
      </c>
      <c r="B28" s="23" t="s">
        <v>50</v>
      </c>
      <c r="C28" s="24" t="s">
        <v>51</v>
      </c>
      <c r="D28" s="24"/>
      <c r="E28" s="23" t="s">
        <v>63</v>
      </c>
      <c r="F28" s="23" t="s">
        <v>63</v>
      </c>
      <c r="G28" s="24" t="s">
        <v>64</v>
      </c>
      <c r="H28" s="23" t="s">
        <v>52</v>
      </c>
      <c r="I28" s="23" t="s">
        <v>69</v>
      </c>
      <c r="J28" s="23" t="s">
        <v>52</v>
      </c>
      <c r="K28" s="23" t="s">
        <v>70</v>
      </c>
      <c r="L28" s="23" t="s">
        <v>71</v>
      </c>
      <c r="M28" s="23" t="s">
        <v>72</v>
      </c>
      <c r="N28" s="23" t="s">
        <v>73</v>
      </c>
      <c r="O28" s="23" t="s">
        <v>73</v>
      </c>
      <c r="P28" s="24" t="s">
        <v>74</v>
      </c>
      <c r="Q28" s="23" t="s">
        <v>120</v>
      </c>
      <c r="R28" s="24" t="s">
        <v>120</v>
      </c>
      <c r="S28" s="24" t="s">
        <v>121</v>
      </c>
      <c r="T28" s="23" t="n">
        <v>18</v>
      </c>
      <c r="U28" s="22" t="s">
        <v>77</v>
      </c>
      <c r="V28" s="23" t="s">
        <v>85</v>
      </c>
      <c r="Y28" s="23" t="s">
        <v>80</v>
      </c>
      <c r="AF28" s="23" t="n">
        <f aca="false">COUNTIF($AE$2:$AE$218,AE28)</f>
        <v>0</v>
      </c>
      <c r="AH28" s="24"/>
      <c r="AY28" s="22"/>
      <c r="AZ28" s="22"/>
      <c r="BA28" s="22"/>
      <c r="BB28" s="22"/>
      <c r="BC28" s="22"/>
      <c r="BD28" s="22"/>
      <c r="BE28" s="22"/>
      <c r="BF28" s="22"/>
      <c r="BG28" s="0"/>
      <c r="BH28" s="0"/>
    </row>
    <row r="29" s="23" customFormat="true" ht="24" hidden="false" customHeight="true" outlineLevel="0" collapsed="false">
      <c r="A29" s="23" t="s">
        <v>50</v>
      </c>
      <c r="B29" s="23" t="s">
        <v>50</v>
      </c>
      <c r="C29" s="24" t="s">
        <v>51</v>
      </c>
      <c r="D29" s="24"/>
      <c r="E29" s="23" t="s">
        <v>63</v>
      </c>
      <c r="F29" s="23" t="s">
        <v>63</v>
      </c>
      <c r="G29" s="24" t="s">
        <v>64</v>
      </c>
      <c r="H29" s="23" t="s">
        <v>52</v>
      </c>
      <c r="I29" s="23" t="s">
        <v>69</v>
      </c>
      <c r="J29" s="23" t="s">
        <v>52</v>
      </c>
      <c r="K29" s="23" t="s">
        <v>70</v>
      </c>
      <c r="L29" s="23" t="s">
        <v>71</v>
      </c>
      <c r="M29" s="23" t="s">
        <v>72</v>
      </c>
      <c r="N29" s="23" t="s">
        <v>73</v>
      </c>
      <c r="O29" s="23" t="s">
        <v>73</v>
      </c>
      <c r="P29" s="24" t="s">
        <v>74</v>
      </c>
      <c r="Q29" s="23" t="s">
        <v>122</v>
      </c>
      <c r="R29" s="24" t="s">
        <v>122</v>
      </c>
      <c r="S29" s="24" t="s">
        <v>121</v>
      </c>
      <c r="T29" s="23" t="n">
        <v>19</v>
      </c>
      <c r="U29" s="22" t="s">
        <v>77</v>
      </c>
      <c r="V29" s="23" t="s">
        <v>85</v>
      </c>
      <c r="Y29" s="23" t="s">
        <v>80</v>
      </c>
      <c r="AF29" s="23" t="n">
        <f aca="false">COUNTIF($AE$2:$AE$218,AE29)</f>
        <v>0</v>
      </c>
      <c r="AH29" s="24"/>
      <c r="AY29" s="22"/>
      <c r="AZ29" s="22"/>
      <c r="BA29" s="22"/>
      <c r="BB29" s="22"/>
      <c r="BC29" s="22"/>
      <c r="BD29" s="22"/>
      <c r="BE29" s="22"/>
      <c r="BF29" s="22"/>
      <c r="BG29" s="0"/>
      <c r="BH29" s="0"/>
    </row>
    <row r="30" s="23" customFormat="true" ht="24" hidden="false" customHeight="true" outlineLevel="0" collapsed="false">
      <c r="A30" s="23" t="s">
        <v>50</v>
      </c>
      <c r="B30" s="23" t="s">
        <v>50</v>
      </c>
      <c r="C30" s="24" t="s">
        <v>51</v>
      </c>
      <c r="D30" s="24"/>
      <c r="E30" s="23" t="s">
        <v>63</v>
      </c>
      <c r="F30" s="23" t="s">
        <v>63</v>
      </c>
      <c r="G30" s="24" t="s">
        <v>64</v>
      </c>
      <c r="H30" s="23" t="s">
        <v>52</v>
      </c>
      <c r="I30" s="23" t="s">
        <v>69</v>
      </c>
      <c r="J30" s="23" t="s">
        <v>52</v>
      </c>
      <c r="K30" s="23" t="s">
        <v>70</v>
      </c>
      <c r="L30" s="23" t="s">
        <v>71</v>
      </c>
      <c r="M30" s="23" t="s">
        <v>72</v>
      </c>
      <c r="N30" s="23" t="s">
        <v>73</v>
      </c>
      <c r="O30" s="23" t="s">
        <v>73</v>
      </c>
      <c r="P30" s="24" t="s">
        <v>74</v>
      </c>
      <c r="Q30" s="23" t="s">
        <v>123</v>
      </c>
      <c r="R30" s="24" t="s">
        <v>123</v>
      </c>
      <c r="S30" s="24" t="s">
        <v>121</v>
      </c>
      <c r="T30" s="23" t="n">
        <v>20</v>
      </c>
      <c r="U30" s="22" t="s">
        <v>77</v>
      </c>
      <c r="V30" s="23" t="s">
        <v>85</v>
      </c>
      <c r="Y30" s="23" t="s">
        <v>80</v>
      </c>
      <c r="AF30" s="23" t="n">
        <f aca="false">COUNTIF($AE$2:$AE$218,AE30)</f>
        <v>0</v>
      </c>
      <c r="AH30" s="24"/>
      <c r="AY30" s="22"/>
      <c r="AZ30" s="22"/>
      <c r="BA30" s="22"/>
      <c r="BB30" s="22"/>
      <c r="BC30" s="22"/>
      <c r="BD30" s="22"/>
      <c r="BE30" s="22"/>
      <c r="BF30" s="22"/>
      <c r="BG30" s="0"/>
      <c r="BH30" s="0"/>
    </row>
    <row r="31" s="23" customFormat="true" ht="24" hidden="false" customHeight="true" outlineLevel="0" collapsed="false">
      <c r="A31" s="23" t="s">
        <v>50</v>
      </c>
      <c r="B31" s="23" t="s">
        <v>50</v>
      </c>
      <c r="C31" s="24" t="s">
        <v>51</v>
      </c>
      <c r="D31" s="24"/>
      <c r="E31" s="23" t="s">
        <v>63</v>
      </c>
      <c r="F31" s="23" t="s">
        <v>63</v>
      </c>
      <c r="G31" s="24" t="s">
        <v>64</v>
      </c>
      <c r="H31" s="23" t="s">
        <v>52</v>
      </c>
      <c r="I31" s="23" t="s">
        <v>69</v>
      </c>
      <c r="J31" s="23" t="s">
        <v>52</v>
      </c>
      <c r="K31" s="23" t="s">
        <v>70</v>
      </c>
      <c r="L31" s="23" t="s">
        <v>71</v>
      </c>
      <c r="M31" s="23" t="s">
        <v>72</v>
      </c>
      <c r="N31" s="23" t="s">
        <v>73</v>
      </c>
      <c r="O31" s="23" t="s">
        <v>73</v>
      </c>
      <c r="P31" s="24" t="s">
        <v>74</v>
      </c>
      <c r="Q31" s="23" t="s">
        <v>124</v>
      </c>
      <c r="R31" s="24" t="s">
        <v>124</v>
      </c>
      <c r="S31" s="24" t="s">
        <v>121</v>
      </c>
      <c r="T31" s="23" t="n">
        <v>21</v>
      </c>
      <c r="U31" s="22" t="s">
        <v>77</v>
      </c>
      <c r="V31" s="23" t="s">
        <v>85</v>
      </c>
      <c r="Y31" s="23" t="s">
        <v>80</v>
      </c>
      <c r="AF31" s="23" t="n">
        <f aca="false">COUNTIF($AE$2:$AE$218,AE31)</f>
        <v>0</v>
      </c>
      <c r="AH31" s="24"/>
      <c r="AY31" s="22"/>
      <c r="AZ31" s="22"/>
      <c r="BA31" s="22"/>
      <c r="BB31" s="22"/>
      <c r="BC31" s="22"/>
      <c r="BD31" s="22"/>
      <c r="BE31" s="22"/>
      <c r="BF31" s="22"/>
      <c r="BG31" s="0"/>
      <c r="BH31" s="0"/>
    </row>
    <row r="32" s="23" customFormat="true" ht="24" hidden="false" customHeight="true" outlineLevel="0" collapsed="false">
      <c r="A32" s="23" t="s">
        <v>50</v>
      </c>
      <c r="B32" s="23" t="s">
        <v>50</v>
      </c>
      <c r="C32" s="24" t="s">
        <v>51</v>
      </c>
      <c r="D32" s="24"/>
      <c r="E32" s="23" t="s">
        <v>63</v>
      </c>
      <c r="F32" s="23" t="s">
        <v>63</v>
      </c>
      <c r="G32" s="24" t="s">
        <v>64</v>
      </c>
      <c r="H32" s="23" t="s">
        <v>52</v>
      </c>
      <c r="I32" s="23" t="s">
        <v>69</v>
      </c>
      <c r="J32" s="23" t="s">
        <v>52</v>
      </c>
      <c r="K32" s="23" t="s">
        <v>70</v>
      </c>
      <c r="L32" s="23" t="s">
        <v>71</v>
      </c>
      <c r="M32" s="23" t="s">
        <v>72</v>
      </c>
      <c r="N32" s="23" t="s">
        <v>73</v>
      </c>
      <c r="O32" s="23" t="s">
        <v>73</v>
      </c>
      <c r="P32" s="24" t="s">
        <v>74</v>
      </c>
      <c r="Q32" s="23" t="s">
        <v>125</v>
      </c>
      <c r="R32" s="24" t="s">
        <v>125</v>
      </c>
      <c r="S32" s="24" t="s">
        <v>121</v>
      </c>
      <c r="T32" s="23" t="n">
        <v>22</v>
      </c>
      <c r="U32" s="22" t="s">
        <v>77</v>
      </c>
      <c r="V32" s="23" t="s">
        <v>85</v>
      </c>
      <c r="Y32" s="23" t="s">
        <v>80</v>
      </c>
      <c r="AF32" s="23" t="n">
        <f aca="false">COUNTIF($AE$2:$AE$218,AE32)</f>
        <v>0</v>
      </c>
      <c r="AH32" s="24"/>
      <c r="AY32" s="22"/>
      <c r="AZ32" s="22"/>
      <c r="BA32" s="22"/>
      <c r="BB32" s="22"/>
      <c r="BC32" s="22"/>
      <c r="BD32" s="22"/>
      <c r="BE32" s="22"/>
      <c r="BF32" s="22"/>
      <c r="BG32" s="0"/>
      <c r="BH32" s="0"/>
    </row>
    <row r="33" s="23" customFormat="true" ht="24" hidden="false" customHeight="true" outlineLevel="0" collapsed="false">
      <c r="A33" s="23" t="s">
        <v>50</v>
      </c>
      <c r="B33" s="23" t="s">
        <v>50</v>
      </c>
      <c r="C33" s="24" t="s">
        <v>51</v>
      </c>
      <c r="D33" s="24"/>
      <c r="E33" s="23" t="s">
        <v>63</v>
      </c>
      <c r="F33" s="23" t="s">
        <v>63</v>
      </c>
      <c r="G33" s="24" t="s">
        <v>64</v>
      </c>
      <c r="H33" s="23" t="s">
        <v>52</v>
      </c>
      <c r="I33" s="23" t="s">
        <v>69</v>
      </c>
      <c r="J33" s="23" t="s">
        <v>52</v>
      </c>
      <c r="K33" s="23" t="s">
        <v>70</v>
      </c>
      <c r="L33" s="23" t="s">
        <v>71</v>
      </c>
      <c r="M33" s="23" t="s">
        <v>72</v>
      </c>
      <c r="N33" s="23" t="s">
        <v>73</v>
      </c>
      <c r="O33" s="23" t="s">
        <v>73</v>
      </c>
      <c r="P33" s="24" t="s">
        <v>74</v>
      </c>
      <c r="Q33" s="23" t="s">
        <v>126</v>
      </c>
      <c r="R33" s="24" t="s">
        <v>126</v>
      </c>
      <c r="S33" s="24" t="s">
        <v>121</v>
      </c>
      <c r="T33" s="23" t="n">
        <v>23</v>
      </c>
      <c r="U33" s="22" t="s">
        <v>77</v>
      </c>
      <c r="V33" s="23" t="s">
        <v>85</v>
      </c>
      <c r="Y33" s="23" t="s">
        <v>80</v>
      </c>
      <c r="AF33" s="23" t="n">
        <f aca="false">COUNTIF($AE$2:$AE$218,AE33)</f>
        <v>0</v>
      </c>
      <c r="AH33" s="24"/>
      <c r="AY33" s="22"/>
      <c r="AZ33" s="22"/>
      <c r="BA33" s="22"/>
      <c r="BB33" s="22"/>
      <c r="BC33" s="22"/>
      <c r="BD33" s="22"/>
      <c r="BE33" s="22"/>
      <c r="BF33" s="22"/>
      <c r="BG33" s="0"/>
      <c r="BH33" s="0"/>
    </row>
    <row r="34" s="23" customFormat="true" ht="24" hidden="false" customHeight="true" outlineLevel="0" collapsed="false">
      <c r="A34" s="23" t="s">
        <v>50</v>
      </c>
      <c r="B34" s="23" t="s">
        <v>50</v>
      </c>
      <c r="C34" s="24" t="s">
        <v>51</v>
      </c>
      <c r="D34" s="24"/>
      <c r="E34" s="23" t="s">
        <v>63</v>
      </c>
      <c r="F34" s="23" t="s">
        <v>63</v>
      </c>
      <c r="G34" s="24" t="s">
        <v>64</v>
      </c>
      <c r="H34" s="23" t="s">
        <v>52</v>
      </c>
      <c r="I34" s="23" t="s">
        <v>69</v>
      </c>
      <c r="J34" s="23" t="s">
        <v>52</v>
      </c>
      <c r="K34" s="23" t="s">
        <v>70</v>
      </c>
      <c r="L34" s="23" t="s">
        <v>71</v>
      </c>
      <c r="M34" s="23" t="s">
        <v>72</v>
      </c>
      <c r="N34" s="23" t="s">
        <v>73</v>
      </c>
      <c r="O34" s="23" t="s">
        <v>73</v>
      </c>
      <c r="P34" s="24" t="s">
        <v>74</v>
      </c>
      <c r="Q34" s="23" t="s">
        <v>127</v>
      </c>
      <c r="R34" s="24" t="s">
        <v>127</v>
      </c>
      <c r="S34" s="24" t="s">
        <v>121</v>
      </c>
      <c r="T34" s="23" t="n">
        <v>24</v>
      </c>
      <c r="U34" s="22" t="s">
        <v>77</v>
      </c>
      <c r="V34" s="23" t="s">
        <v>85</v>
      </c>
      <c r="Y34" s="23" t="s">
        <v>80</v>
      </c>
      <c r="AF34" s="23" t="n">
        <f aca="false">COUNTIF($AE$2:$AE$218,AE34)</f>
        <v>0</v>
      </c>
      <c r="AH34" s="24"/>
      <c r="AY34" s="22"/>
      <c r="AZ34" s="22"/>
      <c r="BA34" s="22"/>
      <c r="BB34" s="22"/>
      <c r="BC34" s="22"/>
      <c r="BD34" s="22"/>
      <c r="BE34" s="22"/>
      <c r="BF34" s="22"/>
      <c r="BG34" s="0"/>
      <c r="BH34" s="0"/>
    </row>
    <row r="35" s="20" customFormat="true" ht="24" hidden="false" customHeight="true" outlineLevel="0" collapsed="false">
      <c r="A35" s="20" t="s">
        <v>50</v>
      </c>
      <c r="B35" s="20" t="s">
        <v>50</v>
      </c>
      <c r="C35" s="21" t="s">
        <v>51</v>
      </c>
      <c r="D35" s="21"/>
      <c r="E35" s="20" t="s">
        <v>63</v>
      </c>
      <c r="F35" s="20" t="s">
        <v>63</v>
      </c>
      <c r="G35" s="21" t="s">
        <v>64</v>
      </c>
      <c r="H35" s="20" t="s">
        <v>52</v>
      </c>
      <c r="I35" s="23" t="s">
        <v>69</v>
      </c>
      <c r="J35" s="23" t="s">
        <v>52</v>
      </c>
      <c r="K35" s="23" t="s">
        <v>70</v>
      </c>
      <c r="L35" s="20" t="s">
        <v>71</v>
      </c>
      <c r="M35" s="20" t="s">
        <v>72</v>
      </c>
      <c r="N35" s="20" t="s">
        <v>128</v>
      </c>
      <c r="O35" s="20" t="s">
        <v>128</v>
      </c>
      <c r="P35" s="21" t="s">
        <v>129</v>
      </c>
      <c r="Q35" s="20" t="s">
        <v>130</v>
      </c>
      <c r="R35" s="21" t="s">
        <v>130</v>
      </c>
      <c r="S35" s="21" t="s">
        <v>76</v>
      </c>
      <c r="T35" s="20" t="n">
        <v>0</v>
      </c>
      <c r="U35" s="22" t="s">
        <v>77</v>
      </c>
      <c r="V35" s="20" t="s">
        <v>78</v>
      </c>
      <c r="Y35" s="20" t="s">
        <v>79</v>
      </c>
      <c r="Z35" s="20" t="s">
        <v>80</v>
      </c>
      <c r="AA35" s="20" t="s">
        <v>81</v>
      </c>
      <c r="AB35" s="20" t="s">
        <v>82</v>
      </c>
      <c r="AD35" s="20" t="str">
        <f aca="false">Q35</f>
        <v>PartyIdentificationInstanceID</v>
      </c>
      <c r="AF35" s="20" t="n">
        <f aca="false">COUNTIF($AE$2:$AE$218,AE35)</f>
        <v>0</v>
      </c>
      <c r="AH35" s="21"/>
      <c r="AY35" s="22"/>
      <c r="AZ35" s="22"/>
      <c r="BA35" s="22"/>
      <c r="BB35" s="22"/>
      <c r="BC35" s="22"/>
      <c r="BD35" s="22"/>
      <c r="BE35" s="22"/>
      <c r="BF35" s="22"/>
      <c r="BG35" s="0"/>
      <c r="BH35" s="0"/>
    </row>
    <row r="36" s="20" customFormat="true" ht="24" hidden="false" customHeight="true" outlineLevel="0" collapsed="false">
      <c r="A36" s="20" t="s">
        <v>50</v>
      </c>
      <c r="B36" s="20" t="s">
        <v>50</v>
      </c>
      <c r="C36" s="21" t="s">
        <v>51</v>
      </c>
      <c r="D36" s="21"/>
      <c r="E36" s="20" t="s">
        <v>63</v>
      </c>
      <c r="F36" s="20" t="s">
        <v>63</v>
      </c>
      <c r="G36" s="21" t="s">
        <v>64</v>
      </c>
      <c r="H36" s="20" t="s">
        <v>52</v>
      </c>
      <c r="I36" s="23" t="s">
        <v>69</v>
      </c>
      <c r="J36" s="23" t="s">
        <v>52</v>
      </c>
      <c r="K36" s="23" t="s">
        <v>70</v>
      </c>
      <c r="L36" s="20" t="s">
        <v>71</v>
      </c>
      <c r="M36" s="20" t="s">
        <v>72</v>
      </c>
      <c r="N36" s="20" t="s">
        <v>128</v>
      </c>
      <c r="O36" s="20" t="s">
        <v>128</v>
      </c>
      <c r="P36" s="21" t="s">
        <v>129</v>
      </c>
      <c r="Q36" s="20" t="s">
        <v>131</v>
      </c>
      <c r="R36" s="21" t="s">
        <v>131</v>
      </c>
      <c r="S36" s="21"/>
      <c r="T36" s="20" t="n">
        <v>1</v>
      </c>
      <c r="U36" s="22" t="s">
        <v>77</v>
      </c>
      <c r="V36" s="20" t="s">
        <v>85</v>
      </c>
      <c r="Y36" s="20" t="s">
        <v>80</v>
      </c>
      <c r="AF36" s="20" t="n">
        <f aca="false">COUNTIF($AE$2:$AE$218,AE36)</f>
        <v>0</v>
      </c>
      <c r="AH36" s="21"/>
      <c r="AY36" s="22"/>
      <c r="AZ36" s="22"/>
      <c r="BA36" s="22"/>
      <c r="BB36" s="22"/>
      <c r="BC36" s="22"/>
      <c r="BD36" s="22"/>
      <c r="BE36" s="22"/>
      <c r="BF36" s="22"/>
      <c r="BG36" s="0"/>
      <c r="BH36" s="0"/>
    </row>
    <row r="37" s="20" customFormat="true" ht="24" hidden="false" customHeight="true" outlineLevel="0" collapsed="false">
      <c r="A37" s="20" t="s">
        <v>50</v>
      </c>
      <c r="B37" s="20" t="s">
        <v>50</v>
      </c>
      <c r="C37" s="21" t="s">
        <v>51</v>
      </c>
      <c r="D37" s="21"/>
      <c r="E37" s="20" t="s">
        <v>63</v>
      </c>
      <c r="F37" s="20" t="s">
        <v>63</v>
      </c>
      <c r="G37" s="21" t="s">
        <v>64</v>
      </c>
      <c r="H37" s="20" t="s">
        <v>52</v>
      </c>
      <c r="I37" s="23" t="s">
        <v>69</v>
      </c>
      <c r="J37" s="23" t="s">
        <v>52</v>
      </c>
      <c r="K37" s="23" t="s">
        <v>70</v>
      </c>
      <c r="L37" s="20" t="s">
        <v>71</v>
      </c>
      <c r="M37" s="20" t="s">
        <v>72</v>
      </c>
      <c r="N37" s="20" t="s">
        <v>128</v>
      </c>
      <c r="O37" s="20" t="s">
        <v>128</v>
      </c>
      <c r="P37" s="21" t="s">
        <v>129</v>
      </c>
      <c r="Q37" s="20" t="s">
        <v>132</v>
      </c>
      <c r="R37" s="21" t="s">
        <v>132</v>
      </c>
      <c r="S37" s="21"/>
      <c r="T37" s="20" t="n">
        <v>2</v>
      </c>
      <c r="U37" s="22" t="s">
        <v>77</v>
      </c>
      <c r="V37" s="20" t="s">
        <v>85</v>
      </c>
      <c r="Y37" s="20" t="s">
        <v>79</v>
      </c>
      <c r="AF37" s="20" t="n">
        <f aca="false">COUNTIF($AE$2:$AE$218,AE37)</f>
        <v>0</v>
      </c>
      <c r="AH37" s="21"/>
      <c r="AY37" s="22"/>
      <c r="AZ37" s="22"/>
      <c r="BA37" s="22"/>
      <c r="BB37" s="22"/>
      <c r="BC37" s="22"/>
      <c r="BD37" s="22"/>
      <c r="BE37" s="22"/>
      <c r="BF37" s="22"/>
      <c r="BG37" s="0"/>
      <c r="BH37" s="0"/>
    </row>
    <row r="38" s="20" customFormat="true" ht="24" hidden="false" customHeight="true" outlineLevel="0" collapsed="false">
      <c r="A38" s="20" t="s">
        <v>50</v>
      </c>
      <c r="B38" s="20" t="s">
        <v>50</v>
      </c>
      <c r="C38" s="21" t="s">
        <v>51</v>
      </c>
      <c r="D38" s="21"/>
      <c r="E38" s="20" t="s">
        <v>63</v>
      </c>
      <c r="F38" s="20" t="s">
        <v>63</v>
      </c>
      <c r="G38" s="21" t="s">
        <v>64</v>
      </c>
      <c r="H38" s="20" t="s">
        <v>52</v>
      </c>
      <c r="I38" s="23" t="s">
        <v>69</v>
      </c>
      <c r="J38" s="23" t="s">
        <v>52</v>
      </c>
      <c r="K38" s="23" t="s">
        <v>70</v>
      </c>
      <c r="L38" s="20" t="s">
        <v>71</v>
      </c>
      <c r="M38" s="20" t="s">
        <v>72</v>
      </c>
      <c r="N38" s="20" t="s">
        <v>128</v>
      </c>
      <c r="O38" s="20" t="s">
        <v>128</v>
      </c>
      <c r="P38" s="21" t="s">
        <v>129</v>
      </c>
      <c r="Q38" s="20" t="s">
        <v>75</v>
      </c>
      <c r="R38" s="21" t="s">
        <v>75</v>
      </c>
      <c r="S38" s="21"/>
      <c r="T38" s="20" t="n">
        <v>3</v>
      </c>
      <c r="U38" s="22" t="s">
        <v>77</v>
      </c>
      <c r="V38" s="20" t="s">
        <v>78</v>
      </c>
      <c r="Y38" s="20" t="s">
        <v>80</v>
      </c>
      <c r="AA38" s="23" t="s">
        <v>133</v>
      </c>
      <c r="AB38" s="20" t="s">
        <v>133</v>
      </c>
      <c r="AD38" s="20" t="str">
        <f aca="false">Q38</f>
        <v>PostalAddressIdentifier</v>
      </c>
      <c r="AE38" s="20" t="s">
        <v>134</v>
      </c>
      <c r="AF38" s="20" t="n">
        <f aca="false">COUNTIF($AE$2:$AE$218,AE38)</f>
        <v>1</v>
      </c>
      <c r="AG38" s="20" t="s">
        <v>73</v>
      </c>
      <c r="AH38" s="20" t="s">
        <v>73</v>
      </c>
      <c r="AI38" s="20" t="s">
        <v>72</v>
      </c>
      <c r="AJ38" s="25" t="s">
        <v>128</v>
      </c>
      <c r="AK38" s="25" t="s">
        <v>135</v>
      </c>
      <c r="AL38" s="25" t="s">
        <v>135</v>
      </c>
      <c r="AM38" s="25" t="str">
        <f aca="false">AA38</f>
        <v>FK-PostalAddress</v>
      </c>
      <c r="AN38" s="20" t="s">
        <v>75</v>
      </c>
      <c r="AP38" s="20" t="s">
        <v>136</v>
      </c>
      <c r="AQ38" s="20" t="s">
        <v>137</v>
      </c>
      <c r="AR38" s="25" t="s">
        <v>73</v>
      </c>
      <c r="AS38" s="25" t="s">
        <v>138</v>
      </c>
      <c r="AT38" s="25" t="s">
        <v>138</v>
      </c>
      <c r="AU38" s="25" t="s">
        <v>81</v>
      </c>
      <c r="AV38" s="20" t="s">
        <v>75</v>
      </c>
      <c r="AX38" s="20" t="s">
        <v>136</v>
      </c>
      <c r="AY38" s="22"/>
      <c r="AZ38" s="22"/>
      <c r="BA38" s="22"/>
      <c r="BB38" s="22"/>
      <c r="BC38" s="22"/>
      <c r="BD38" s="22"/>
      <c r="BE38" s="22"/>
      <c r="BF38" s="22"/>
      <c r="BG38" s="0"/>
      <c r="BH38" s="0"/>
    </row>
    <row r="39" s="20" customFormat="true" ht="24" hidden="false" customHeight="true" outlineLevel="0" collapsed="false">
      <c r="A39" s="20" t="s">
        <v>50</v>
      </c>
      <c r="B39" s="20" t="s">
        <v>50</v>
      </c>
      <c r="C39" s="21" t="s">
        <v>51</v>
      </c>
      <c r="D39" s="21"/>
      <c r="E39" s="20" t="s">
        <v>63</v>
      </c>
      <c r="F39" s="20" t="s">
        <v>63</v>
      </c>
      <c r="G39" s="21" t="s">
        <v>64</v>
      </c>
      <c r="H39" s="20" t="s">
        <v>52</v>
      </c>
      <c r="I39" s="23" t="s">
        <v>69</v>
      </c>
      <c r="J39" s="23" t="s">
        <v>52</v>
      </c>
      <c r="K39" s="23" t="s">
        <v>70</v>
      </c>
      <c r="L39" s="20" t="s">
        <v>71</v>
      </c>
      <c r="M39" s="20" t="s">
        <v>72</v>
      </c>
      <c r="N39" s="20" t="s">
        <v>128</v>
      </c>
      <c r="O39" s="20" t="s">
        <v>128</v>
      </c>
      <c r="P39" s="21" t="s">
        <v>129</v>
      </c>
      <c r="Q39" s="20" t="s">
        <v>139</v>
      </c>
      <c r="R39" s="20" t="s">
        <v>139</v>
      </c>
      <c r="S39" s="21" t="s">
        <v>140</v>
      </c>
      <c r="T39" s="20" t="n">
        <v>4</v>
      </c>
      <c r="U39" s="22" t="s">
        <v>77</v>
      </c>
      <c r="V39" s="20" t="s">
        <v>85</v>
      </c>
      <c r="W39" s="20" t="s">
        <v>141</v>
      </c>
      <c r="Y39" s="20" t="s">
        <v>80</v>
      </c>
      <c r="AF39" s="20" t="n">
        <f aca="false">COUNTIF($AE$2:$AE$218,AE39)</f>
        <v>0</v>
      </c>
      <c r="AH39" s="21"/>
      <c r="AY39" s="22"/>
      <c r="AZ39" s="22"/>
      <c r="BA39" s="22"/>
      <c r="BB39" s="22"/>
      <c r="BC39" s="22"/>
      <c r="BD39" s="22"/>
      <c r="BE39" s="22"/>
      <c r="BF39" s="22"/>
      <c r="BG39" s="0"/>
      <c r="BH39" s="0"/>
    </row>
    <row r="40" s="20" customFormat="true" ht="24" hidden="false" customHeight="true" outlineLevel="0" collapsed="false">
      <c r="A40" s="20" t="s">
        <v>50</v>
      </c>
      <c r="B40" s="20" t="s">
        <v>50</v>
      </c>
      <c r="C40" s="21" t="s">
        <v>51</v>
      </c>
      <c r="D40" s="21"/>
      <c r="E40" s="20" t="s">
        <v>63</v>
      </c>
      <c r="F40" s="20" t="s">
        <v>63</v>
      </c>
      <c r="G40" s="21" t="s">
        <v>64</v>
      </c>
      <c r="H40" s="20" t="s">
        <v>52</v>
      </c>
      <c r="I40" s="23" t="s">
        <v>69</v>
      </c>
      <c r="J40" s="23" t="s">
        <v>52</v>
      </c>
      <c r="K40" s="23" t="s">
        <v>70</v>
      </c>
      <c r="L40" s="20" t="s">
        <v>71</v>
      </c>
      <c r="M40" s="20" t="s">
        <v>72</v>
      </c>
      <c r="N40" s="20" t="s">
        <v>128</v>
      </c>
      <c r="O40" s="20" t="s">
        <v>128</v>
      </c>
      <c r="P40" s="21" t="s">
        <v>129</v>
      </c>
      <c r="Q40" s="20" t="s">
        <v>142</v>
      </c>
      <c r="R40" s="21" t="s">
        <v>142</v>
      </c>
      <c r="S40" s="20" t="s">
        <v>143</v>
      </c>
      <c r="T40" s="20" t="n">
        <v>5</v>
      </c>
      <c r="U40" s="22" t="s">
        <v>77</v>
      </c>
      <c r="V40" s="20" t="s">
        <v>85</v>
      </c>
      <c r="Y40" s="20" t="s">
        <v>80</v>
      </c>
      <c r="AF40" s="20" t="n">
        <f aca="false">COUNTIF($AE$2:$AE$218,AE40)</f>
        <v>0</v>
      </c>
      <c r="AH40" s="21"/>
      <c r="AY40" s="22"/>
      <c r="AZ40" s="22"/>
      <c r="BA40" s="22"/>
      <c r="BB40" s="22"/>
      <c r="BC40" s="22"/>
      <c r="BD40" s="22"/>
      <c r="BE40" s="22"/>
      <c r="BF40" s="22"/>
      <c r="BG40" s="0"/>
      <c r="BH40" s="0"/>
    </row>
    <row r="41" s="20" customFormat="true" ht="24" hidden="false" customHeight="true" outlineLevel="0" collapsed="false">
      <c r="A41" s="20" t="s">
        <v>50</v>
      </c>
      <c r="B41" s="20" t="s">
        <v>50</v>
      </c>
      <c r="C41" s="21" t="s">
        <v>51</v>
      </c>
      <c r="D41" s="21"/>
      <c r="E41" s="20" t="s">
        <v>63</v>
      </c>
      <c r="F41" s="20" t="s">
        <v>63</v>
      </c>
      <c r="G41" s="21" t="s">
        <v>64</v>
      </c>
      <c r="H41" s="20" t="s">
        <v>52</v>
      </c>
      <c r="I41" s="23" t="s">
        <v>69</v>
      </c>
      <c r="J41" s="23" t="s">
        <v>52</v>
      </c>
      <c r="K41" s="23" t="s">
        <v>70</v>
      </c>
      <c r="L41" s="20" t="s">
        <v>71</v>
      </c>
      <c r="M41" s="20" t="s">
        <v>72</v>
      </c>
      <c r="N41" s="20" t="s">
        <v>128</v>
      </c>
      <c r="O41" s="20" t="s">
        <v>128</v>
      </c>
      <c r="P41" s="21" t="s">
        <v>129</v>
      </c>
      <c r="Q41" s="20" t="s">
        <v>144</v>
      </c>
      <c r="R41" s="21" t="s">
        <v>144</v>
      </c>
      <c r="S41" s="21"/>
      <c r="T41" s="20" t="n">
        <v>6</v>
      </c>
      <c r="U41" s="22" t="s">
        <v>77</v>
      </c>
      <c r="V41" s="20" t="s">
        <v>85</v>
      </c>
      <c r="Y41" s="20" t="s">
        <v>80</v>
      </c>
      <c r="AF41" s="20" t="n">
        <f aca="false">COUNTIF($AE$2:$AE$218,AE41)</f>
        <v>0</v>
      </c>
      <c r="AH41" s="21"/>
      <c r="AY41" s="22"/>
      <c r="AZ41" s="22"/>
      <c r="BA41" s="22"/>
      <c r="BB41" s="22"/>
      <c r="BC41" s="22"/>
      <c r="BD41" s="22"/>
      <c r="BE41" s="22"/>
      <c r="BF41" s="22"/>
      <c r="BG41" s="0"/>
      <c r="BH41" s="0"/>
    </row>
    <row r="42" s="20" customFormat="true" ht="24" hidden="false" customHeight="true" outlineLevel="0" collapsed="false">
      <c r="A42" s="20" t="s">
        <v>50</v>
      </c>
      <c r="B42" s="20" t="s">
        <v>50</v>
      </c>
      <c r="C42" s="21" t="s">
        <v>51</v>
      </c>
      <c r="D42" s="21"/>
      <c r="E42" s="20" t="s">
        <v>63</v>
      </c>
      <c r="F42" s="20" t="s">
        <v>63</v>
      </c>
      <c r="G42" s="21" t="s">
        <v>64</v>
      </c>
      <c r="H42" s="20" t="s">
        <v>52</v>
      </c>
      <c r="I42" s="23" t="s">
        <v>69</v>
      </c>
      <c r="J42" s="23" t="s">
        <v>52</v>
      </c>
      <c r="K42" s="23" t="s">
        <v>70</v>
      </c>
      <c r="L42" s="20" t="s">
        <v>71</v>
      </c>
      <c r="M42" s="20" t="s">
        <v>72</v>
      </c>
      <c r="N42" s="20" t="s">
        <v>128</v>
      </c>
      <c r="O42" s="20" t="s">
        <v>128</v>
      </c>
      <c r="P42" s="21" t="s">
        <v>129</v>
      </c>
      <c r="Q42" s="20" t="s">
        <v>145</v>
      </c>
      <c r="R42" s="21" t="s">
        <v>145</v>
      </c>
      <c r="S42" s="21"/>
      <c r="T42" s="20" t="n">
        <v>7</v>
      </c>
      <c r="U42" s="22" t="s">
        <v>77</v>
      </c>
      <c r="V42" s="20" t="s">
        <v>85</v>
      </c>
      <c r="Y42" s="20" t="s">
        <v>80</v>
      </c>
      <c r="AF42" s="20" t="n">
        <f aca="false">COUNTIF($AE$2:$AE$218,AE42)</f>
        <v>0</v>
      </c>
      <c r="AH42" s="21"/>
      <c r="AY42" s="22"/>
      <c r="AZ42" s="22"/>
      <c r="BA42" s="22"/>
      <c r="BB42" s="22"/>
      <c r="BC42" s="22"/>
      <c r="BD42" s="22"/>
      <c r="BE42" s="22"/>
      <c r="BF42" s="22"/>
      <c r="BG42" s="0"/>
      <c r="BH42" s="0"/>
    </row>
    <row r="43" s="20" customFormat="true" ht="24" hidden="false" customHeight="true" outlineLevel="0" collapsed="false">
      <c r="A43" s="20" t="s">
        <v>50</v>
      </c>
      <c r="B43" s="20" t="s">
        <v>50</v>
      </c>
      <c r="C43" s="21" t="s">
        <v>51</v>
      </c>
      <c r="D43" s="21"/>
      <c r="E43" s="20" t="s">
        <v>63</v>
      </c>
      <c r="F43" s="20" t="s">
        <v>63</v>
      </c>
      <c r="G43" s="21" t="s">
        <v>64</v>
      </c>
      <c r="H43" s="20" t="s">
        <v>52</v>
      </c>
      <c r="I43" s="23" t="s">
        <v>69</v>
      </c>
      <c r="J43" s="23" t="s">
        <v>52</v>
      </c>
      <c r="K43" s="23" t="s">
        <v>70</v>
      </c>
      <c r="L43" s="20" t="s">
        <v>71</v>
      </c>
      <c r="M43" s="20" t="s">
        <v>72</v>
      </c>
      <c r="N43" s="20" t="s">
        <v>128</v>
      </c>
      <c r="O43" s="20" t="s">
        <v>128</v>
      </c>
      <c r="P43" s="21" t="s">
        <v>129</v>
      </c>
      <c r="Q43" s="20" t="s">
        <v>146</v>
      </c>
      <c r="R43" s="21" t="s">
        <v>146</v>
      </c>
      <c r="S43" s="21"/>
      <c r="T43" s="20" t="n">
        <v>8</v>
      </c>
      <c r="U43" s="22" t="s">
        <v>77</v>
      </c>
      <c r="V43" s="20" t="s">
        <v>85</v>
      </c>
      <c r="Y43" s="20" t="s">
        <v>80</v>
      </c>
      <c r="AF43" s="20" t="n">
        <f aca="false">COUNTIF($AE$2:$AE$218,AE43)</f>
        <v>0</v>
      </c>
      <c r="AH43" s="21"/>
      <c r="AY43" s="22"/>
      <c r="AZ43" s="22"/>
      <c r="BA43" s="22"/>
      <c r="BB43" s="22"/>
      <c r="BC43" s="22"/>
      <c r="BD43" s="22"/>
      <c r="BE43" s="22"/>
      <c r="BF43" s="22"/>
      <c r="BG43" s="0"/>
      <c r="BH43" s="0"/>
    </row>
    <row r="44" s="20" customFormat="true" ht="24" hidden="false" customHeight="true" outlineLevel="0" collapsed="false">
      <c r="A44" s="20" t="s">
        <v>50</v>
      </c>
      <c r="B44" s="20" t="s">
        <v>50</v>
      </c>
      <c r="C44" s="21" t="s">
        <v>51</v>
      </c>
      <c r="D44" s="21"/>
      <c r="E44" s="20" t="s">
        <v>63</v>
      </c>
      <c r="F44" s="20" t="s">
        <v>63</v>
      </c>
      <c r="G44" s="21" t="s">
        <v>64</v>
      </c>
      <c r="H44" s="20" t="s">
        <v>52</v>
      </c>
      <c r="I44" s="23" t="s">
        <v>69</v>
      </c>
      <c r="J44" s="23" t="s">
        <v>52</v>
      </c>
      <c r="K44" s="23" t="s">
        <v>70</v>
      </c>
      <c r="L44" s="20" t="s">
        <v>71</v>
      </c>
      <c r="M44" s="20" t="s">
        <v>72</v>
      </c>
      <c r="N44" s="20" t="s">
        <v>128</v>
      </c>
      <c r="O44" s="20" t="s">
        <v>128</v>
      </c>
      <c r="P44" s="21" t="s">
        <v>129</v>
      </c>
      <c r="Q44" s="20" t="s">
        <v>147</v>
      </c>
      <c r="R44" s="21" t="s">
        <v>147</v>
      </c>
      <c r="S44" s="21" t="s">
        <v>148</v>
      </c>
      <c r="T44" s="20" t="n">
        <v>9</v>
      </c>
      <c r="U44" s="22" t="s">
        <v>77</v>
      </c>
      <c r="V44" s="20" t="s">
        <v>149</v>
      </c>
      <c r="Y44" s="20" t="s">
        <v>80</v>
      </c>
      <c r="AF44" s="20" t="n">
        <f aca="false">COUNTIF($AE$2:$AE$218,AE44)</f>
        <v>0</v>
      </c>
      <c r="AH44" s="21"/>
      <c r="AY44" s="22"/>
      <c r="AZ44" s="22"/>
      <c r="BA44" s="22"/>
      <c r="BB44" s="22"/>
      <c r="BC44" s="22"/>
      <c r="BD44" s="22"/>
      <c r="BE44" s="22"/>
      <c r="BF44" s="22"/>
      <c r="BG44" s="0"/>
      <c r="BH44" s="0"/>
    </row>
    <row r="45" s="20" customFormat="true" ht="24" hidden="false" customHeight="true" outlineLevel="0" collapsed="false">
      <c r="A45" s="20" t="s">
        <v>50</v>
      </c>
      <c r="B45" s="20" t="s">
        <v>50</v>
      </c>
      <c r="C45" s="21" t="s">
        <v>51</v>
      </c>
      <c r="D45" s="21"/>
      <c r="E45" s="20" t="s">
        <v>63</v>
      </c>
      <c r="F45" s="20" t="s">
        <v>63</v>
      </c>
      <c r="G45" s="21" t="s">
        <v>64</v>
      </c>
      <c r="H45" s="20" t="s">
        <v>52</v>
      </c>
      <c r="I45" s="23" t="s">
        <v>69</v>
      </c>
      <c r="J45" s="23" t="s">
        <v>52</v>
      </c>
      <c r="K45" s="23" t="s">
        <v>70</v>
      </c>
      <c r="L45" s="20" t="s">
        <v>71</v>
      </c>
      <c r="M45" s="20" t="s">
        <v>72</v>
      </c>
      <c r="N45" s="20" t="s">
        <v>128</v>
      </c>
      <c r="O45" s="20" t="s">
        <v>128</v>
      </c>
      <c r="P45" s="21" t="s">
        <v>129</v>
      </c>
      <c r="Q45" s="20" t="s">
        <v>150</v>
      </c>
      <c r="R45" s="21" t="s">
        <v>150</v>
      </c>
      <c r="S45" s="21" t="s">
        <v>151</v>
      </c>
      <c r="T45" s="20" t="n">
        <v>10</v>
      </c>
      <c r="U45" s="22" t="s">
        <v>77</v>
      </c>
      <c r="V45" s="20" t="s">
        <v>85</v>
      </c>
      <c r="Y45" s="20" t="s">
        <v>80</v>
      </c>
      <c r="AF45" s="20" t="n">
        <f aca="false">COUNTIF($AE$2:$AE$218,AE45)</f>
        <v>0</v>
      </c>
      <c r="AH45" s="21"/>
      <c r="AY45" s="22"/>
      <c r="AZ45" s="22"/>
      <c r="BA45" s="22"/>
      <c r="BB45" s="22"/>
      <c r="BC45" s="22"/>
      <c r="BD45" s="22"/>
      <c r="BE45" s="22"/>
      <c r="BF45" s="22"/>
      <c r="BG45" s="0"/>
      <c r="BH45" s="0"/>
    </row>
    <row r="46" s="20" customFormat="true" ht="24" hidden="false" customHeight="true" outlineLevel="0" collapsed="false">
      <c r="A46" s="20" t="s">
        <v>50</v>
      </c>
      <c r="B46" s="20" t="s">
        <v>50</v>
      </c>
      <c r="C46" s="21" t="s">
        <v>51</v>
      </c>
      <c r="D46" s="21"/>
      <c r="E46" s="20" t="s">
        <v>63</v>
      </c>
      <c r="F46" s="20" t="s">
        <v>63</v>
      </c>
      <c r="G46" s="21" t="s">
        <v>64</v>
      </c>
      <c r="H46" s="20" t="s">
        <v>52</v>
      </c>
      <c r="I46" s="23" t="s">
        <v>69</v>
      </c>
      <c r="J46" s="23" t="s">
        <v>52</v>
      </c>
      <c r="K46" s="23" t="s">
        <v>70</v>
      </c>
      <c r="L46" s="20" t="s">
        <v>71</v>
      </c>
      <c r="M46" s="20" t="s">
        <v>72</v>
      </c>
      <c r="N46" s="20" t="s">
        <v>128</v>
      </c>
      <c r="O46" s="20" t="s">
        <v>128</v>
      </c>
      <c r="P46" s="21" t="s">
        <v>129</v>
      </c>
      <c r="Q46" s="20" t="s">
        <v>152</v>
      </c>
      <c r="R46" s="21" t="s">
        <v>152</v>
      </c>
      <c r="S46" s="21" t="s">
        <v>153</v>
      </c>
      <c r="T46" s="20" t="n">
        <v>11</v>
      </c>
      <c r="U46" s="22" t="s">
        <v>77</v>
      </c>
      <c r="V46" s="20" t="s">
        <v>85</v>
      </c>
      <c r="Y46" s="20" t="s">
        <v>80</v>
      </c>
      <c r="AF46" s="20" t="n">
        <f aca="false">COUNTIF($AE$2:$AE$218,AE46)</f>
        <v>0</v>
      </c>
      <c r="AH46" s="21"/>
      <c r="AY46" s="22"/>
      <c r="AZ46" s="22"/>
      <c r="BA46" s="22"/>
      <c r="BB46" s="22"/>
      <c r="BC46" s="22"/>
      <c r="BD46" s="22"/>
      <c r="BE46" s="22"/>
      <c r="BF46" s="22"/>
      <c r="BG46" s="0"/>
      <c r="BH46" s="0"/>
    </row>
    <row r="47" s="20" customFormat="true" ht="24" hidden="false" customHeight="true" outlineLevel="0" collapsed="false">
      <c r="A47" s="20" t="s">
        <v>50</v>
      </c>
      <c r="B47" s="20" t="s">
        <v>50</v>
      </c>
      <c r="C47" s="21" t="s">
        <v>51</v>
      </c>
      <c r="D47" s="21"/>
      <c r="E47" s="20" t="s">
        <v>63</v>
      </c>
      <c r="F47" s="20" t="s">
        <v>63</v>
      </c>
      <c r="G47" s="21" t="s">
        <v>64</v>
      </c>
      <c r="H47" s="20" t="s">
        <v>52</v>
      </c>
      <c r="I47" s="23" t="s">
        <v>69</v>
      </c>
      <c r="J47" s="23" t="s">
        <v>52</v>
      </c>
      <c r="K47" s="23" t="s">
        <v>70</v>
      </c>
      <c r="L47" s="20" t="s">
        <v>71</v>
      </c>
      <c r="M47" s="20" t="s">
        <v>72</v>
      </c>
      <c r="N47" s="20" t="s">
        <v>128</v>
      </c>
      <c r="O47" s="20" t="s">
        <v>128</v>
      </c>
      <c r="P47" s="21" t="s">
        <v>129</v>
      </c>
      <c r="Q47" s="20" t="s">
        <v>154</v>
      </c>
      <c r="R47" s="21" t="s">
        <v>154</v>
      </c>
      <c r="S47" s="21" t="s">
        <v>155</v>
      </c>
      <c r="T47" s="20" t="n">
        <v>12</v>
      </c>
      <c r="U47" s="22" t="s">
        <v>77</v>
      </c>
      <c r="V47" s="20" t="s">
        <v>85</v>
      </c>
      <c r="Y47" s="20" t="s">
        <v>80</v>
      </c>
      <c r="AF47" s="20" t="n">
        <f aca="false">COUNTIF($AE$2:$AE$218,AE47)</f>
        <v>0</v>
      </c>
      <c r="AH47" s="21"/>
      <c r="AY47" s="22"/>
      <c r="AZ47" s="22"/>
      <c r="BA47" s="22"/>
      <c r="BB47" s="22"/>
      <c r="BC47" s="22"/>
      <c r="BD47" s="22"/>
      <c r="BE47" s="22"/>
      <c r="BF47" s="22"/>
      <c r="BG47" s="0"/>
      <c r="BH47" s="0"/>
    </row>
    <row r="48" s="23" customFormat="true" ht="24" hidden="false" customHeight="true" outlineLevel="0" collapsed="false">
      <c r="A48" s="23" t="s">
        <v>50</v>
      </c>
      <c r="B48" s="23" t="s">
        <v>50</v>
      </c>
      <c r="C48" s="24" t="s">
        <v>51</v>
      </c>
      <c r="D48" s="24"/>
      <c r="E48" s="23" t="s">
        <v>57</v>
      </c>
      <c r="F48" s="23" t="s">
        <v>57</v>
      </c>
      <c r="G48" s="24" t="s">
        <v>58</v>
      </c>
      <c r="H48" s="23" t="s">
        <v>52</v>
      </c>
      <c r="I48" s="23" t="s">
        <v>69</v>
      </c>
      <c r="J48" s="23" t="s">
        <v>52</v>
      </c>
      <c r="K48" s="23" t="s">
        <v>70</v>
      </c>
      <c r="L48" s="23" t="s">
        <v>71</v>
      </c>
      <c r="M48" s="23" t="s">
        <v>72</v>
      </c>
      <c r="N48" s="23" t="s">
        <v>156</v>
      </c>
      <c r="O48" s="23" t="s">
        <v>157</v>
      </c>
      <c r="P48" s="24" t="s">
        <v>158</v>
      </c>
      <c r="Q48" s="23" t="s">
        <v>159</v>
      </c>
      <c r="R48" s="24" t="s">
        <v>159</v>
      </c>
      <c r="S48" s="24" t="s">
        <v>76</v>
      </c>
      <c r="T48" s="23" t="n">
        <v>0</v>
      </c>
      <c r="U48" s="22" t="s">
        <v>77</v>
      </c>
      <c r="V48" s="23" t="s">
        <v>78</v>
      </c>
      <c r="Y48" s="23" t="s">
        <v>79</v>
      </c>
      <c r="Z48" s="23" t="s">
        <v>80</v>
      </c>
      <c r="AA48" s="23" t="s">
        <v>81</v>
      </c>
      <c r="AB48" s="23" t="s">
        <v>82</v>
      </c>
      <c r="AD48" s="23" t="str">
        <f aca="false">Q48</f>
        <v>UniquePaymentMessageIdentifier</v>
      </c>
      <c r="AF48" s="23" t="n">
        <f aca="false">COUNTIF($AE$2:$AE$218,AE48)</f>
        <v>0</v>
      </c>
      <c r="AH48" s="24"/>
      <c r="AY48" s="22"/>
      <c r="AZ48" s="22"/>
      <c r="BA48" s="22"/>
      <c r="BB48" s="22"/>
      <c r="BC48" s="22"/>
      <c r="BD48" s="22"/>
      <c r="BE48" s="22"/>
      <c r="BF48" s="22"/>
      <c r="BG48" s="0"/>
      <c r="BH48" s="0"/>
    </row>
    <row r="49" s="23" customFormat="true" ht="24" hidden="false" customHeight="true" outlineLevel="0" collapsed="false">
      <c r="A49" s="23" t="s">
        <v>50</v>
      </c>
      <c r="B49" s="23" t="s">
        <v>50</v>
      </c>
      <c r="C49" s="24" t="s">
        <v>51</v>
      </c>
      <c r="D49" s="24"/>
      <c r="E49" s="23" t="s">
        <v>57</v>
      </c>
      <c r="F49" s="23" t="s">
        <v>57</v>
      </c>
      <c r="G49" s="24" t="s">
        <v>58</v>
      </c>
      <c r="H49" s="23" t="s">
        <v>52</v>
      </c>
      <c r="I49" s="23" t="s">
        <v>69</v>
      </c>
      <c r="J49" s="23" t="s">
        <v>52</v>
      </c>
      <c r="K49" s="23" t="s">
        <v>70</v>
      </c>
      <c r="L49" s="23" t="s">
        <v>71</v>
      </c>
      <c r="M49" s="23" t="s">
        <v>72</v>
      </c>
      <c r="N49" s="23" t="s">
        <v>156</v>
      </c>
      <c r="O49" s="23" t="s">
        <v>157</v>
      </c>
      <c r="P49" s="24" t="s">
        <v>158</v>
      </c>
      <c r="Q49" s="23" t="s">
        <v>160</v>
      </c>
      <c r="R49" s="24" t="s">
        <v>160</v>
      </c>
      <c r="S49" s="24" t="s">
        <v>161</v>
      </c>
      <c r="T49" s="23" t="n">
        <v>1</v>
      </c>
      <c r="U49" s="22" t="s">
        <v>77</v>
      </c>
      <c r="V49" s="23" t="s">
        <v>85</v>
      </c>
      <c r="Y49" s="23" t="s">
        <v>79</v>
      </c>
      <c r="AF49" s="23" t="n">
        <f aca="false">COUNTIF($AE$2:$AE$218,AE49)</f>
        <v>0</v>
      </c>
      <c r="AH49" s="24"/>
      <c r="AY49" s="22"/>
      <c r="AZ49" s="22"/>
      <c r="BA49" s="22"/>
      <c r="BB49" s="22"/>
      <c r="BC49" s="22"/>
      <c r="BD49" s="22"/>
      <c r="BE49" s="22"/>
      <c r="BF49" s="22"/>
      <c r="BG49" s="0"/>
      <c r="BH49" s="0"/>
    </row>
    <row r="50" s="23" customFormat="true" ht="24" hidden="false" customHeight="true" outlineLevel="0" collapsed="false">
      <c r="A50" s="23" t="s">
        <v>50</v>
      </c>
      <c r="B50" s="23" t="s">
        <v>50</v>
      </c>
      <c r="C50" s="24" t="s">
        <v>51</v>
      </c>
      <c r="D50" s="24"/>
      <c r="E50" s="23" t="s">
        <v>57</v>
      </c>
      <c r="F50" s="23" t="s">
        <v>57</v>
      </c>
      <c r="G50" s="24" t="s">
        <v>58</v>
      </c>
      <c r="H50" s="23" t="s">
        <v>52</v>
      </c>
      <c r="I50" s="23" t="s">
        <v>69</v>
      </c>
      <c r="J50" s="23" t="s">
        <v>52</v>
      </c>
      <c r="K50" s="23" t="s">
        <v>70</v>
      </c>
      <c r="L50" s="23" t="s">
        <v>71</v>
      </c>
      <c r="M50" s="23" t="s">
        <v>72</v>
      </c>
      <c r="N50" s="23" t="s">
        <v>156</v>
      </c>
      <c r="O50" s="23" t="s">
        <v>157</v>
      </c>
      <c r="P50" s="24" t="s">
        <v>158</v>
      </c>
      <c r="Q50" s="23" t="s">
        <v>162</v>
      </c>
      <c r="R50" s="24" t="s">
        <v>162</v>
      </c>
      <c r="S50" s="24"/>
      <c r="T50" s="23" t="n">
        <v>2</v>
      </c>
      <c r="U50" s="22" t="s">
        <v>77</v>
      </c>
      <c r="V50" s="23" t="s">
        <v>78</v>
      </c>
      <c r="Y50" s="23" t="s">
        <v>79</v>
      </c>
      <c r="AA50" s="23" t="s">
        <v>163</v>
      </c>
      <c r="AB50" s="23" t="s">
        <v>163</v>
      </c>
      <c r="AD50" s="20" t="str">
        <f aca="false">Q50</f>
        <v>MessageSender</v>
      </c>
      <c r="AE50" s="23" t="s">
        <v>164</v>
      </c>
      <c r="AF50" s="23" t="n">
        <f aca="false">COUNTIF($AE$2:$AE$218,AE50)</f>
        <v>1</v>
      </c>
      <c r="AG50" s="23" t="s">
        <v>162</v>
      </c>
      <c r="AH50" s="24" t="s">
        <v>165</v>
      </c>
      <c r="AI50" s="23" t="s">
        <v>72</v>
      </c>
      <c r="AJ50" s="26" t="s">
        <v>156</v>
      </c>
      <c r="AK50" s="25" t="s">
        <v>135</v>
      </c>
      <c r="AL50" s="25" t="s">
        <v>135</v>
      </c>
      <c r="AM50" s="25" t="str">
        <f aca="false">AA50</f>
        <v>FK-PartyIdentification</v>
      </c>
      <c r="AN50" s="23" t="s">
        <v>162</v>
      </c>
      <c r="AP50" s="23" t="s">
        <v>136</v>
      </c>
      <c r="AQ50" s="23" t="s">
        <v>137</v>
      </c>
      <c r="AR50" s="26" t="s">
        <v>128</v>
      </c>
      <c r="AS50" s="25" t="s">
        <v>138</v>
      </c>
      <c r="AT50" s="25" t="s">
        <v>138</v>
      </c>
      <c r="AU50" s="25" t="s">
        <v>81</v>
      </c>
      <c r="AV50" s="23" t="s">
        <v>130</v>
      </c>
      <c r="AX50" s="23" t="s">
        <v>136</v>
      </c>
      <c r="AY50" s="22"/>
      <c r="AZ50" s="22"/>
      <c r="BA50" s="22"/>
      <c r="BB50" s="22"/>
      <c r="BC50" s="22"/>
      <c r="BD50" s="22"/>
      <c r="BE50" s="22"/>
      <c r="BF50" s="22"/>
      <c r="BG50" s="0"/>
      <c r="BH50" s="0"/>
    </row>
    <row r="51" s="23" customFormat="true" ht="24" hidden="false" customHeight="true" outlineLevel="0" collapsed="false">
      <c r="A51" s="23" t="s">
        <v>50</v>
      </c>
      <c r="B51" s="23" t="s">
        <v>50</v>
      </c>
      <c r="C51" s="24" t="s">
        <v>51</v>
      </c>
      <c r="D51" s="24"/>
      <c r="E51" s="23" t="s">
        <v>57</v>
      </c>
      <c r="F51" s="23" t="s">
        <v>57</v>
      </c>
      <c r="G51" s="24" t="s">
        <v>58</v>
      </c>
      <c r="H51" s="23" t="s">
        <v>52</v>
      </c>
      <c r="I51" s="23" t="s">
        <v>69</v>
      </c>
      <c r="J51" s="23" t="s">
        <v>52</v>
      </c>
      <c r="K51" s="23" t="s">
        <v>70</v>
      </c>
      <c r="L51" s="23" t="s">
        <v>71</v>
      </c>
      <c r="M51" s="23" t="s">
        <v>72</v>
      </c>
      <c r="N51" s="23" t="s">
        <v>156</v>
      </c>
      <c r="O51" s="23" t="s">
        <v>157</v>
      </c>
      <c r="P51" s="24" t="s">
        <v>158</v>
      </c>
      <c r="Q51" s="23" t="s">
        <v>166</v>
      </c>
      <c r="R51" s="23" t="s">
        <v>166</v>
      </c>
      <c r="S51" s="24" t="s">
        <v>167</v>
      </c>
      <c r="T51" s="23" t="n">
        <v>3</v>
      </c>
      <c r="U51" s="22" t="s">
        <v>77</v>
      </c>
      <c r="V51" s="23" t="s">
        <v>78</v>
      </c>
      <c r="Y51" s="23" t="s">
        <v>79</v>
      </c>
      <c r="AA51" s="23" t="s">
        <v>168</v>
      </c>
      <c r="AB51" s="23" t="s">
        <v>168</v>
      </c>
      <c r="AD51" s="20" t="str">
        <f aca="false">Q51</f>
        <v>InterfaceID</v>
      </c>
      <c r="AE51" s="23" t="s">
        <v>169</v>
      </c>
      <c r="AF51" s="23" t="n">
        <v>1</v>
      </c>
      <c r="AG51" s="23" t="s">
        <v>170</v>
      </c>
      <c r="AH51" s="24" t="s">
        <v>171</v>
      </c>
      <c r="AI51" s="23" t="s">
        <v>72</v>
      </c>
      <c r="AJ51" s="26" t="s">
        <v>156</v>
      </c>
      <c r="AK51" s="25" t="s">
        <v>135</v>
      </c>
      <c r="AL51" s="25" t="s">
        <v>135</v>
      </c>
      <c r="AM51" s="25" t="str">
        <f aca="false">AA51</f>
        <v>FK-Interface</v>
      </c>
      <c r="AN51" s="23" t="s">
        <v>166</v>
      </c>
      <c r="AP51" s="23" t="s">
        <v>172</v>
      </c>
      <c r="AQ51" s="23" t="s">
        <v>137</v>
      </c>
      <c r="AR51" s="26" t="s">
        <v>59</v>
      </c>
      <c r="AS51" s="25" t="s">
        <v>138</v>
      </c>
      <c r="AT51" s="25" t="s">
        <v>138</v>
      </c>
      <c r="AU51" s="25" t="s">
        <v>81</v>
      </c>
      <c r="AV51" s="23" t="s">
        <v>166</v>
      </c>
      <c r="AX51" s="23" t="s">
        <v>136</v>
      </c>
      <c r="AY51" s="22"/>
      <c r="AZ51" s="22"/>
      <c r="BA51" s="22"/>
      <c r="BB51" s="22"/>
      <c r="BC51" s="22"/>
      <c r="BD51" s="22"/>
      <c r="BE51" s="22"/>
      <c r="BF51" s="22"/>
      <c r="BG51" s="0"/>
      <c r="BH51" s="0"/>
    </row>
    <row r="52" s="23" customFormat="true" ht="24" hidden="false" customHeight="true" outlineLevel="0" collapsed="false">
      <c r="A52" s="23" t="s">
        <v>50</v>
      </c>
      <c r="B52" s="23" t="s">
        <v>50</v>
      </c>
      <c r="C52" s="24" t="s">
        <v>51</v>
      </c>
      <c r="D52" s="24"/>
      <c r="E52" s="23" t="s">
        <v>57</v>
      </c>
      <c r="F52" s="23" t="s">
        <v>57</v>
      </c>
      <c r="G52" s="24" t="s">
        <v>58</v>
      </c>
      <c r="H52" s="23" t="s">
        <v>52</v>
      </c>
      <c r="I52" s="23" t="s">
        <v>69</v>
      </c>
      <c r="J52" s="23" t="s">
        <v>52</v>
      </c>
      <c r="K52" s="23" t="s">
        <v>70</v>
      </c>
      <c r="L52" s="23" t="s">
        <v>71</v>
      </c>
      <c r="M52" s="23" t="s">
        <v>72</v>
      </c>
      <c r="N52" s="23" t="s">
        <v>156</v>
      </c>
      <c r="O52" s="23" t="s">
        <v>157</v>
      </c>
      <c r="P52" s="24" t="s">
        <v>158</v>
      </c>
      <c r="Q52" s="23" t="s">
        <v>173</v>
      </c>
      <c r="R52" s="23" t="s">
        <v>173</v>
      </c>
      <c r="S52" s="23" t="s">
        <v>173</v>
      </c>
      <c r="T52" s="23" t="n">
        <v>4</v>
      </c>
      <c r="U52" s="22" t="s">
        <v>77</v>
      </c>
      <c r="V52" s="23" t="s">
        <v>174</v>
      </c>
      <c r="Y52" s="23" t="s">
        <v>79</v>
      </c>
      <c r="AF52" s="23" t="n">
        <f aca="false">COUNTIF($AE$2:$AE$218,AE52)</f>
        <v>0</v>
      </c>
      <c r="AH52" s="24"/>
      <c r="AY52" s="22"/>
      <c r="AZ52" s="22"/>
      <c r="BA52" s="22"/>
      <c r="BB52" s="22"/>
      <c r="BC52" s="22"/>
      <c r="BD52" s="22"/>
      <c r="BE52" s="22"/>
      <c r="BF52" s="22"/>
      <c r="BG52" s="0"/>
      <c r="BH52" s="0"/>
    </row>
    <row r="53" s="23" customFormat="true" ht="24" hidden="false" customHeight="true" outlineLevel="0" collapsed="false">
      <c r="A53" s="23" t="s">
        <v>50</v>
      </c>
      <c r="B53" s="23" t="s">
        <v>50</v>
      </c>
      <c r="C53" s="24" t="s">
        <v>51</v>
      </c>
      <c r="D53" s="24"/>
      <c r="E53" s="23" t="s">
        <v>57</v>
      </c>
      <c r="F53" s="23" t="s">
        <v>57</v>
      </c>
      <c r="G53" s="24" t="s">
        <v>58</v>
      </c>
      <c r="H53" s="23" t="s">
        <v>52</v>
      </c>
      <c r="I53" s="23" t="s">
        <v>69</v>
      </c>
      <c r="J53" s="23" t="s">
        <v>52</v>
      </c>
      <c r="K53" s="23" t="s">
        <v>70</v>
      </c>
      <c r="L53" s="23" t="s">
        <v>71</v>
      </c>
      <c r="M53" s="23" t="s">
        <v>72</v>
      </c>
      <c r="N53" s="23" t="s">
        <v>156</v>
      </c>
      <c r="O53" s="23" t="s">
        <v>157</v>
      </c>
      <c r="P53" s="24" t="s">
        <v>158</v>
      </c>
      <c r="Q53" s="23" t="s">
        <v>175</v>
      </c>
      <c r="R53" s="23" t="s">
        <v>175</v>
      </c>
      <c r="S53" s="24" t="s">
        <v>176</v>
      </c>
      <c r="T53" s="23" t="n">
        <v>5</v>
      </c>
      <c r="U53" s="22" t="s">
        <v>77</v>
      </c>
      <c r="V53" s="23" t="s">
        <v>85</v>
      </c>
      <c r="Y53" s="23" t="s">
        <v>79</v>
      </c>
      <c r="AF53" s="23" t="n">
        <f aca="false">COUNTIF($AE$2:$AE$218,AE53)</f>
        <v>0</v>
      </c>
      <c r="AH53" s="24"/>
      <c r="AY53" s="22"/>
      <c r="AZ53" s="22"/>
      <c r="BA53" s="22"/>
      <c r="BB53" s="22"/>
      <c r="BC53" s="22"/>
      <c r="BD53" s="22"/>
      <c r="BE53" s="22"/>
      <c r="BF53" s="22"/>
      <c r="BG53" s="0"/>
      <c r="BH53" s="0"/>
    </row>
    <row r="54" s="20" customFormat="true" ht="24" hidden="false" customHeight="true" outlineLevel="0" collapsed="false">
      <c r="A54" s="20" t="s">
        <v>50</v>
      </c>
      <c r="B54" s="20" t="s">
        <v>50</v>
      </c>
      <c r="C54" s="21" t="s">
        <v>51</v>
      </c>
      <c r="D54" s="21"/>
      <c r="E54" s="20" t="s">
        <v>55</v>
      </c>
      <c r="F54" s="20" t="s">
        <v>55</v>
      </c>
      <c r="G54" s="21" t="s">
        <v>56</v>
      </c>
      <c r="H54" s="20" t="s">
        <v>52</v>
      </c>
      <c r="I54" s="23" t="s">
        <v>69</v>
      </c>
      <c r="J54" s="23" t="s">
        <v>52</v>
      </c>
      <c r="K54" s="23" t="s">
        <v>70</v>
      </c>
      <c r="L54" s="20" t="s">
        <v>71</v>
      </c>
      <c r="M54" s="20" t="s">
        <v>72</v>
      </c>
      <c r="N54" s="20" t="s">
        <v>177</v>
      </c>
      <c r="O54" s="20" t="s">
        <v>177</v>
      </c>
      <c r="P54" s="21" t="s">
        <v>178</v>
      </c>
      <c r="Q54" s="20" t="s">
        <v>179</v>
      </c>
      <c r="R54" s="20" t="s">
        <v>179</v>
      </c>
      <c r="S54" s="21" t="s">
        <v>76</v>
      </c>
      <c r="T54" s="20" t="n">
        <v>0</v>
      </c>
      <c r="U54" s="22" t="s">
        <v>77</v>
      </c>
      <c r="V54" s="20" t="s">
        <v>78</v>
      </c>
      <c r="Y54" s="20" t="s">
        <v>79</v>
      </c>
      <c r="Z54" s="20" t="s">
        <v>80</v>
      </c>
      <c r="AA54" s="20" t="s">
        <v>81</v>
      </c>
      <c r="AB54" s="20" t="s">
        <v>82</v>
      </c>
      <c r="AD54" s="20" t="str">
        <f aca="false">Q54</f>
        <v>UniquePIPMID</v>
      </c>
      <c r="AF54" s="20" t="n">
        <f aca="false">COUNTIF($AE$2:$AE$218,AE54)</f>
        <v>0</v>
      </c>
      <c r="AH54" s="21"/>
      <c r="AY54" s="22"/>
      <c r="AZ54" s="22"/>
      <c r="BA54" s="22"/>
      <c r="BB54" s="22"/>
      <c r="BC54" s="22"/>
      <c r="BD54" s="22"/>
      <c r="BE54" s="22"/>
      <c r="BF54" s="22"/>
      <c r="BG54" s="0"/>
      <c r="BH54" s="0"/>
    </row>
    <row r="55" s="20" customFormat="true" ht="24" hidden="false" customHeight="true" outlineLevel="0" collapsed="false">
      <c r="A55" s="20" t="s">
        <v>50</v>
      </c>
      <c r="B55" s="20" t="s">
        <v>50</v>
      </c>
      <c r="C55" s="21" t="s">
        <v>51</v>
      </c>
      <c r="D55" s="21"/>
      <c r="E55" s="20" t="s">
        <v>55</v>
      </c>
      <c r="F55" s="20" t="s">
        <v>55</v>
      </c>
      <c r="G55" s="21" t="s">
        <v>56</v>
      </c>
      <c r="H55" s="20" t="s">
        <v>52</v>
      </c>
      <c r="I55" s="23" t="s">
        <v>69</v>
      </c>
      <c r="J55" s="23" t="s">
        <v>52</v>
      </c>
      <c r="K55" s="23" t="s">
        <v>70</v>
      </c>
      <c r="L55" s="20" t="s">
        <v>71</v>
      </c>
      <c r="M55" s="20" t="s">
        <v>72</v>
      </c>
      <c r="N55" s="20" t="s">
        <v>177</v>
      </c>
      <c r="O55" s="20" t="s">
        <v>177</v>
      </c>
      <c r="P55" s="21" t="s">
        <v>178</v>
      </c>
      <c r="Q55" s="20" t="s">
        <v>180</v>
      </c>
      <c r="R55" s="21" t="s">
        <v>180</v>
      </c>
      <c r="S55" s="21"/>
      <c r="T55" s="20" t="n">
        <v>1</v>
      </c>
      <c r="U55" s="22" t="s">
        <v>77</v>
      </c>
      <c r="V55" s="20" t="s">
        <v>78</v>
      </c>
      <c r="Y55" s="20" t="s">
        <v>79</v>
      </c>
      <c r="AA55" s="23" t="s">
        <v>181</v>
      </c>
      <c r="AB55" s="23" t="s">
        <v>181</v>
      </c>
      <c r="AD55" s="20" t="str">
        <f aca="false">Q55</f>
        <v>PaymentInstructionInternalIdentifier</v>
      </c>
      <c r="AE55" s="20" t="s">
        <v>182</v>
      </c>
      <c r="AF55" s="20" t="n">
        <f aca="false">COUNTIF($AE$2:$AE$218,AE55)</f>
        <v>1</v>
      </c>
      <c r="AG55" s="20" t="s">
        <v>183</v>
      </c>
      <c r="AH55" s="21"/>
      <c r="AI55" s="20" t="s">
        <v>72</v>
      </c>
      <c r="AJ55" s="25" t="s">
        <v>177</v>
      </c>
      <c r="AK55" s="25" t="s">
        <v>135</v>
      </c>
      <c r="AL55" s="25" t="s">
        <v>135</v>
      </c>
      <c r="AM55" s="25" t="str">
        <f aca="false">AA55</f>
        <v>FK-PaymentInstruction</v>
      </c>
      <c r="AN55" s="20" t="s">
        <v>180</v>
      </c>
      <c r="AP55" s="20" t="s">
        <v>172</v>
      </c>
      <c r="AQ55" s="20" t="s">
        <v>137</v>
      </c>
      <c r="AR55" s="25" t="s">
        <v>183</v>
      </c>
      <c r="AS55" s="25" t="s">
        <v>138</v>
      </c>
      <c r="AT55" s="25" t="s">
        <v>138</v>
      </c>
      <c r="AU55" s="25" t="s">
        <v>81</v>
      </c>
      <c r="AV55" s="20" t="s">
        <v>180</v>
      </c>
      <c r="AX55" s="20" t="s">
        <v>136</v>
      </c>
      <c r="AY55" s="22"/>
      <c r="AZ55" s="22"/>
      <c r="BA55" s="22"/>
      <c r="BB55" s="22"/>
      <c r="BC55" s="22"/>
      <c r="BD55" s="22"/>
      <c r="BE55" s="22"/>
      <c r="BF55" s="22"/>
      <c r="BG55" s="0"/>
      <c r="BH55" s="0"/>
    </row>
    <row r="56" s="20" customFormat="true" ht="24" hidden="false" customHeight="true" outlineLevel="0" collapsed="false">
      <c r="A56" s="20" t="s">
        <v>50</v>
      </c>
      <c r="B56" s="20" t="s">
        <v>50</v>
      </c>
      <c r="C56" s="21" t="s">
        <v>51</v>
      </c>
      <c r="D56" s="21"/>
      <c r="E56" s="20" t="s">
        <v>55</v>
      </c>
      <c r="F56" s="20" t="s">
        <v>55</v>
      </c>
      <c r="G56" s="21" t="s">
        <v>56</v>
      </c>
      <c r="H56" s="20" t="s">
        <v>52</v>
      </c>
      <c r="I56" s="23" t="s">
        <v>69</v>
      </c>
      <c r="J56" s="23" t="s">
        <v>52</v>
      </c>
      <c r="K56" s="23" t="s">
        <v>70</v>
      </c>
      <c r="L56" s="20" t="s">
        <v>71</v>
      </c>
      <c r="M56" s="20" t="s">
        <v>72</v>
      </c>
      <c r="N56" s="20" t="s">
        <v>177</v>
      </c>
      <c r="O56" s="20" t="s">
        <v>177</v>
      </c>
      <c r="P56" s="21" t="s">
        <v>178</v>
      </c>
      <c r="Q56" s="20" t="s">
        <v>159</v>
      </c>
      <c r="R56" s="21" t="s">
        <v>159</v>
      </c>
      <c r="S56" s="21"/>
      <c r="T56" s="20" t="n">
        <v>2</v>
      </c>
      <c r="U56" s="22" t="s">
        <v>77</v>
      </c>
      <c r="V56" s="20" t="s">
        <v>78</v>
      </c>
      <c r="Y56" s="20" t="s">
        <v>79</v>
      </c>
      <c r="AA56" s="23" t="s">
        <v>184</v>
      </c>
      <c r="AB56" s="23" t="s">
        <v>184</v>
      </c>
      <c r="AD56" s="20" t="str">
        <f aca="false">Q56</f>
        <v>UniquePaymentMessageIdentifier</v>
      </c>
      <c r="AE56" s="20" t="s">
        <v>185</v>
      </c>
      <c r="AF56" s="20" t="n">
        <f aca="false">COUNTIF($AE$2:$AE$218,AE56)</f>
        <v>1</v>
      </c>
      <c r="AG56" s="20" t="s">
        <v>156</v>
      </c>
      <c r="AH56" s="21"/>
      <c r="AI56" s="20" t="s">
        <v>72</v>
      </c>
      <c r="AJ56" s="25" t="s">
        <v>177</v>
      </c>
      <c r="AK56" s="25" t="s">
        <v>135</v>
      </c>
      <c r="AL56" s="25" t="s">
        <v>135</v>
      </c>
      <c r="AM56" s="25" t="str">
        <f aca="false">AA56</f>
        <v>FK-PaymentMessage</v>
      </c>
      <c r="AN56" s="20" t="s">
        <v>159</v>
      </c>
      <c r="AP56" s="20" t="s">
        <v>172</v>
      </c>
      <c r="AQ56" s="20" t="s">
        <v>137</v>
      </c>
      <c r="AR56" s="25" t="s">
        <v>156</v>
      </c>
      <c r="AS56" s="25" t="s">
        <v>138</v>
      </c>
      <c r="AT56" s="25" t="s">
        <v>138</v>
      </c>
      <c r="AU56" s="25" t="s">
        <v>81</v>
      </c>
      <c r="AV56" s="20" t="s">
        <v>159</v>
      </c>
      <c r="AX56" s="20" t="s">
        <v>136</v>
      </c>
      <c r="AY56" s="22"/>
      <c r="AZ56" s="22"/>
      <c r="BA56" s="22"/>
      <c r="BB56" s="22"/>
      <c r="BC56" s="22"/>
      <c r="BD56" s="22"/>
      <c r="BE56" s="22"/>
      <c r="BF56" s="22"/>
      <c r="BG56" s="0"/>
      <c r="BH56" s="0"/>
    </row>
    <row r="57" s="23" customFormat="true" ht="24" hidden="false" customHeight="true" outlineLevel="0" collapsed="false">
      <c r="A57" s="23" t="s">
        <v>50</v>
      </c>
      <c r="B57" s="23" t="s">
        <v>50</v>
      </c>
      <c r="C57" s="24" t="s">
        <v>51</v>
      </c>
      <c r="D57" s="24"/>
      <c r="E57" s="23" t="s">
        <v>55</v>
      </c>
      <c r="F57" s="23" t="s">
        <v>55</v>
      </c>
      <c r="G57" s="24" t="s">
        <v>56</v>
      </c>
      <c r="H57" s="23" t="s">
        <v>52</v>
      </c>
      <c r="I57" s="23" t="s">
        <v>69</v>
      </c>
      <c r="J57" s="23" t="s">
        <v>52</v>
      </c>
      <c r="K57" s="23" t="s">
        <v>70</v>
      </c>
      <c r="L57" s="23" t="s">
        <v>71</v>
      </c>
      <c r="M57" s="23" t="s">
        <v>72</v>
      </c>
      <c r="N57" s="23" t="s">
        <v>186</v>
      </c>
      <c r="O57" s="23" t="s">
        <v>187</v>
      </c>
      <c r="P57" s="24" t="s">
        <v>188</v>
      </c>
      <c r="Q57" s="23" t="s">
        <v>189</v>
      </c>
      <c r="R57" s="24" t="s">
        <v>190</v>
      </c>
      <c r="S57" s="24" t="s">
        <v>76</v>
      </c>
      <c r="T57" s="23" t="n">
        <v>0</v>
      </c>
      <c r="U57" s="22" t="s">
        <v>77</v>
      </c>
      <c r="V57" s="23" t="s">
        <v>78</v>
      </c>
      <c r="Y57" s="23" t="s">
        <v>79</v>
      </c>
      <c r="Z57" s="23" t="s">
        <v>80</v>
      </c>
      <c r="AA57" s="23" t="s">
        <v>81</v>
      </c>
      <c r="AB57" s="23" t="s">
        <v>82</v>
      </c>
      <c r="AD57" s="23" t="str">
        <f aca="false">Q57</f>
        <v>PaymentInstructionGroupIdentifier</v>
      </c>
      <c r="AF57" s="23" t="n">
        <f aca="false">COUNTIF($AE$2:$AE$218,AE57)</f>
        <v>0</v>
      </c>
      <c r="AH57" s="24"/>
      <c r="AY57" s="22"/>
      <c r="AZ57" s="22"/>
      <c r="BA57" s="22"/>
      <c r="BB57" s="22"/>
      <c r="BC57" s="22"/>
      <c r="BD57" s="22"/>
      <c r="BE57" s="22"/>
      <c r="BF57" s="22"/>
      <c r="BG57" s="0"/>
      <c r="BH57" s="0"/>
    </row>
    <row r="58" s="23" customFormat="true" ht="24" hidden="false" customHeight="true" outlineLevel="0" collapsed="false">
      <c r="A58" s="23" t="s">
        <v>50</v>
      </c>
      <c r="B58" s="23" t="s">
        <v>50</v>
      </c>
      <c r="C58" s="24" t="s">
        <v>51</v>
      </c>
      <c r="D58" s="24"/>
      <c r="E58" s="23" t="s">
        <v>55</v>
      </c>
      <c r="F58" s="23" t="s">
        <v>55</v>
      </c>
      <c r="G58" s="24" t="s">
        <v>56</v>
      </c>
      <c r="H58" s="23" t="s">
        <v>52</v>
      </c>
      <c r="I58" s="23" t="s">
        <v>69</v>
      </c>
      <c r="J58" s="23" t="s">
        <v>52</v>
      </c>
      <c r="K58" s="23" t="s">
        <v>70</v>
      </c>
      <c r="L58" s="23" t="s">
        <v>71</v>
      </c>
      <c r="M58" s="23" t="s">
        <v>72</v>
      </c>
      <c r="N58" s="23" t="s">
        <v>186</v>
      </c>
      <c r="O58" s="23" t="s">
        <v>187</v>
      </c>
      <c r="P58" s="24" t="s">
        <v>188</v>
      </c>
      <c r="Q58" s="23" t="s">
        <v>191</v>
      </c>
      <c r="R58" s="24" t="s">
        <v>192</v>
      </c>
      <c r="S58" s="24" t="s">
        <v>193</v>
      </c>
      <c r="T58" s="23" t="n">
        <v>1</v>
      </c>
      <c r="U58" s="22" t="s">
        <v>77</v>
      </c>
      <c r="V58" s="23" t="s">
        <v>78</v>
      </c>
      <c r="Y58" s="23" t="s">
        <v>80</v>
      </c>
      <c r="AA58" s="23" t="s">
        <v>194</v>
      </c>
      <c r="AB58" s="23" t="s">
        <v>194</v>
      </c>
      <c r="AD58" s="20" t="str">
        <f aca="false">Q58</f>
        <v>ParentPaymentInstructionGroupIdentifier</v>
      </c>
      <c r="AE58" s="23" t="s">
        <v>195</v>
      </c>
      <c r="AF58" s="23" t="n">
        <f aca="false">COUNTIF($AE$2:$AE$218,AE58)</f>
        <v>1</v>
      </c>
      <c r="AG58" s="23" t="s">
        <v>196</v>
      </c>
      <c r="AH58" s="24"/>
      <c r="AI58" s="23" t="s">
        <v>72</v>
      </c>
      <c r="AJ58" s="26" t="s">
        <v>186</v>
      </c>
      <c r="AK58" s="25" t="s">
        <v>135</v>
      </c>
      <c r="AL58" s="25" t="s">
        <v>135</v>
      </c>
      <c r="AM58" s="25" t="str">
        <f aca="false">AA58</f>
        <v>FK-PaymentInstructionGroup</v>
      </c>
      <c r="AN58" s="23" t="s">
        <v>191</v>
      </c>
      <c r="AP58" s="23" t="s">
        <v>136</v>
      </c>
      <c r="AQ58" s="20" t="s">
        <v>137</v>
      </c>
      <c r="AR58" s="26" t="s">
        <v>186</v>
      </c>
      <c r="AS58" s="25" t="s">
        <v>138</v>
      </c>
      <c r="AT58" s="25" t="s">
        <v>138</v>
      </c>
      <c r="AU58" s="25" t="s">
        <v>81</v>
      </c>
      <c r="AV58" s="23" t="s">
        <v>189</v>
      </c>
      <c r="AX58" s="23" t="s">
        <v>136</v>
      </c>
      <c r="AY58" s="22"/>
      <c r="AZ58" s="22"/>
      <c r="BA58" s="22"/>
      <c r="BB58" s="22"/>
      <c r="BC58" s="22"/>
      <c r="BD58" s="22"/>
      <c r="BE58" s="22"/>
      <c r="BF58" s="22"/>
      <c r="BG58" s="0"/>
      <c r="BH58" s="0"/>
    </row>
    <row r="59" s="23" customFormat="true" ht="24" hidden="false" customHeight="true" outlineLevel="0" collapsed="false">
      <c r="A59" s="23" t="s">
        <v>50</v>
      </c>
      <c r="B59" s="23" t="s">
        <v>50</v>
      </c>
      <c r="C59" s="24" t="s">
        <v>51</v>
      </c>
      <c r="D59" s="24"/>
      <c r="E59" s="23" t="s">
        <v>55</v>
      </c>
      <c r="F59" s="23" t="s">
        <v>55</v>
      </c>
      <c r="G59" s="24" t="s">
        <v>56</v>
      </c>
      <c r="H59" s="23" t="s">
        <v>52</v>
      </c>
      <c r="I59" s="23" t="s">
        <v>69</v>
      </c>
      <c r="J59" s="23" t="s">
        <v>52</v>
      </c>
      <c r="K59" s="23" t="s">
        <v>70</v>
      </c>
      <c r="L59" s="23" t="s">
        <v>71</v>
      </c>
      <c r="M59" s="23" t="s">
        <v>72</v>
      </c>
      <c r="N59" s="23" t="s">
        <v>186</v>
      </c>
      <c r="O59" s="23" t="s">
        <v>187</v>
      </c>
      <c r="P59" s="24" t="s">
        <v>188</v>
      </c>
      <c r="Q59" s="23" t="s">
        <v>159</v>
      </c>
      <c r="R59" s="24" t="s">
        <v>159</v>
      </c>
      <c r="S59" s="24" t="s">
        <v>197</v>
      </c>
      <c r="T59" s="23" t="n">
        <v>2</v>
      </c>
      <c r="U59" s="22" t="s">
        <v>77</v>
      </c>
      <c r="V59" s="23" t="s">
        <v>78</v>
      </c>
      <c r="Y59" s="23" t="s">
        <v>79</v>
      </c>
      <c r="AA59" s="23" t="s">
        <v>184</v>
      </c>
      <c r="AB59" s="23" t="s">
        <v>184</v>
      </c>
      <c r="AD59" s="20" t="str">
        <f aca="false">Q59</f>
        <v>UniquePaymentMessageIdentifier</v>
      </c>
      <c r="AE59" s="23" t="s">
        <v>198</v>
      </c>
      <c r="AF59" s="23" t="n">
        <f aca="false">COUNTIF($AE$2:$AE$218,AE59)</f>
        <v>1</v>
      </c>
      <c r="AG59" s="23" t="s">
        <v>199</v>
      </c>
      <c r="AH59" s="24"/>
      <c r="AI59" s="23" t="s">
        <v>72</v>
      </c>
      <c r="AJ59" s="26" t="s">
        <v>186</v>
      </c>
      <c r="AK59" s="25" t="s">
        <v>135</v>
      </c>
      <c r="AL59" s="25" t="s">
        <v>135</v>
      </c>
      <c r="AM59" s="25" t="str">
        <f aca="false">AA59</f>
        <v>FK-PaymentMessage</v>
      </c>
      <c r="AN59" s="23" t="s">
        <v>159</v>
      </c>
      <c r="AP59" s="23" t="s">
        <v>172</v>
      </c>
      <c r="AQ59" s="20" t="s">
        <v>137</v>
      </c>
      <c r="AR59" s="26" t="s">
        <v>156</v>
      </c>
      <c r="AS59" s="25" t="s">
        <v>138</v>
      </c>
      <c r="AT59" s="25" t="s">
        <v>138</v>
      </c>
      <c r="AU59" s="25" t="s">
        <v>81</v>
      </c>
      <c r="AV59" s="23" t="s">
        <v>159</v>
      </c>
      <c r="AX59" s="23" t="s">
        <v>136</v>
      </c>
      <c r="AY59" s="22"/>
      <c r="AZ59" s="22"/>
      <c r="BA59" s="22"/>
      <c r="BB59" s="22"/>
      <c r="BC59" s="22"/>
      <c r="BD59" s="22"/>
      <c r="BE59" s="22"/>
      <c r="BF59" s="22"/>
      <c r="BG59" s="0"/>
      <c r="BH59" s="0"/>
    </row>
    <row r="60" s="23" customFormat="true" ht="24" hidden="false" customHeight="true" outlineLevel="0" collapsed="false">
      <c r="A60" s="23" t="s">
        <v>50</v>
      </c>
      <c r="B60" s="23" t="s">
        <v>50</v>
      </c>
      <c r="C60" s="24" t="s">
        <v>51</v>
      </c>
      <c r="D60" s="24"/>
      <c r="E60" s="23" t="s">
        <v>55</v>
      </c>
      <c r="F60" s="23" t="s">
        <v>55</v>
      </c>
      <c r="G60" s="24" t="s">
        <v>56</v>
      </c>
      <c r="H60" s="23" t="s">
        <v>52</v>
      </c>
      <c r="I60" s="23" t="s">
        <v>69</v>
      </c>
      <c r="J60" s="23" t="s">
        <v>52</v>
      </c>
      <c r="K60" s="23" t="s">
        <v>70</v>
      </c>
      <c r="L60" s="23" t="s">
        <v>71</v>
      </c>
      <c r="M60" s="23" t="s">
        <v>72</v>
      </c>
      <c r="N60" s="23" t="s">
        <v>186</v>
      </c>
      <c r="O60" s="23" t="s">
        <v>187</v>
      </c>
      <c r="P60" s="24" t="s">
        <v>188</v>
      </c>
      <c r="Q60" s="23" t="s">
        <v>200</v>
      </c>
      <c r="R60" s="23" t="s">
        <v>200</v>
      </c>
      <c r="S60" s="24"/>
      <c r="T60" s="23" t="n">
        <v>3</v>
      </c>
      <c r="U60" s="22" t="s">
        <v>77</v>
      </c>
      <c r="V60" s="23" t="s">
        <v>200</v>
      </c>
      <c r="Y60" s="23" t="s">
        <v>79</v>
      </c>
      <c r="AF60" s="23" t="n">
        <f aca="false">COUNTIF($AE$2:$AE$218,AE60)</f>
        <v>0</v>
      </c>
      <c r="AH60" s="24"/>
      <c r="AY60" s="22"/>
      <c r="AZ60" s="22"/>
      <c r="BA60" s="22"/>
      <c r="BB60" s="22"/>
      <c r="BC60" s="22"/>
      <c r="BD60" s="22"/>
      <c r="BE60" s="22"/>
      <c r="BF60" s="22"/>
      <c r="BG60" s="0"/>
      <c r="BH60" s="0"/>
    </row>
    <row r="61" s="23" customFormat="true" ht="24" hidden="false" customHeight="true" outlineLevel="0" collapsed="false">
      <c r="A61" s="23" t="s">
        <v>50</v>
      </c>
      <c r="B61" s="23" t="s">
        <v>50</v>
      </c>
      <c r="C61" s="24" t="s">
        <v>51</v>
      </c>
      <c r="D61" s="24"/>
      <c r="E61" s="23" t="s">
        <v>55</v>
      </c>
      <c r="F61" s="23" t="s">
        <v>55</v>
      </c>
      <c r="G61" s="24" t="s">
        <v>56</v>
      </c>
      <c r="H61" s="23" t="s">
        <v>52</v>
      </c>
      <c r="I61" s="23" t="s">
        <v>69</v>
      </c>
      <c r="J61" s="23" t="s">
        <v>52</v>
      </c>
      <c r="K61" s="23" t="s">
        <v>70</v>
      </c>
      <c r="L61" s="23" t="s">
        <v>71</v>
      </c>
      <c r="M61" s="23" t="s">
        <v>72</v>
      </c>
      <c r="N61" s="23" t="s">
        <v>186</v>
      </c>
      <c r="O61" s="23" t="s">
        <v>187</v>
      </c>
      <c r="P61" s="24" t="s">
        <v>188</v>
      </c>
      <c r="Q61" s="23" t="s">
        <v>201</v>
      </c>
      <c r="R61" s="23" t="s">
        <v>201</v>
      </c>
      <c r="S61" s="24" t="s">
        <v>202</v>
      </c>
      <c r="T61" s="23" t="n">
        <v>4</v>
      </c>
      <c r="U61" s="22" t="s">
        <v>77</v>
      </c>
      <c r="V61" s="23" t="s">
        <v>203</v>
      </c>
      <c r="Y61" s="23" t="s">
        <v>79</v>
      </c>
      <c r="AF61" s="23" t="n">
        <f aca="false">COUNTIF($AE$2:$AE$218,AE61)</f>
        <v>0</v>
      </c>
      <c r="AH61" s="24"/>
      <c r="AY61" s="22"/>
      <c r="AZ61" s="22"/>
      <c r="BA61" s="22"/>
      <c r="BB61" s="22"/>
      <c r="BC61" s="22"/>
      <c r="BD61" s="22"/>
      <c r="BE61" s="22"/>
      <c r="BF61" s="22"/>
      <c r="BG61" s="0"/>
      <c r="BH61" s="0"/>
    </row>
    <row r="62" s="23" customFormat="true" ht="24" hidden="false" customHeight="true" outlineLevel="0" collapsed="false">
      <c r="A62" s="23" t="s">
        <v>50</v>
      </c>
      <c r="B62" s="23" t="s">
        <v>50</v>
      </c>
      <c r="C62" s="24" t="s">
        <v>51</v>
      </c>
      <c r="D62" s="24"/>
      <c r="E62" s="23" t="s">
        <v>55</v>
      </c>
      <c r="F62" s="23" t="s">
        <v>55</v>
      </c>
      <c r="G62" s="24" t="s">
        <v>56</v>
      </c>
      <c r="H62" s="23" t="s">
        <v>52</v>
      </c>
      <c r="I62" s="23" t="s">
        <v>69</v>
      </c>
      <c r="J62" s="23" t="s">
        <v>52</v>
      </c>
      <c r="K62" s="23" t="s">
        <v>70</v>
      </c>
      <c r="L62" s="23" t="s">
        <v>71</v>
      </c>
      <c r="M62" s="23" t="s">
        <v>72</v>
      </c>
      <c r="N62" s="23" t="s">
        <v>186</v>
      </c>
      <c r="O62" s="23" t="s">
        <v>187</v>
      </c>
      <c r="P62" s="24" t="s">
        <v>188</v>
      </c>
      <c r="Q62" s="23" t="s">
        <v>204</v>
      </c>
      <c r="R62" s="23" t="s">
        <v>204</v>
      </c>
      <c r="S62" s="24" t="s">
        <v>205</v>
      </c>
      <c r="T62" s="23" t="n">
        <v>5</v>
      </c>
      <c r="U62" s="22" t="s">
        <v>77</v>
      </c>
      <c r="V62" s="23" t="s">
        <v>206</v>
      </c>
      <c r="Y62" s="23" t="s">
        <v>79</v>
      </c>
      <c r="AF62" s="23" t="n">
        <f aca="false">COUNTIF($AE$2:$AE$218,AE62)</f>
        <v>0</v>
      </c>
      <c r="AH62" s="24"/>
      <c r="AY62" s="22"/>
      <c r="AZ62" s="22"/>
      <c r="BA62" s="22"/>
      <c r="BB62" s="22"/>
      <c r="BC62" s="22"/>
      <c r="BD62" s="22"/>
      <c r="BE62" s="22"/>
      <c r="BF62" s="22"/>
      <c r="BG62" s="0"/>
      <c r="BH62" s="0"/>
    </row>
    <row r="63" s="20" customFormat="true" ht="24" hidden="false" customHeight="true" outlineLevel="0" collapsed="false">
      <c r="A63" s="20" t="s">
        <v>50</v>
      </c>
      <c r="B63" s="20" t="s">
        <v>50</v>
      </c>
      <c r="C63" s="21" t="s">
        <v>51</v>
      </c>
      <c r="D63" s="21"/>
      <c r="E63" s="20" t="s">
        <v>59</v>
      </c>
      <c r="F63" s="20" t="s">
        <v>59</v>
      </c>
      <c r="G63" s="21" t="s">
        <v>60</v>
      </c>
      <c r="H63" s="20" t="s">
        <v>52</v>
      </c>
      <c r="I63" s="23" t="s">
        <v>69</v>
      </c>
      <c r="J63" s="23" t="s">
        <v>52</v>
      </c>
      <c r="K63" s="23" t="s">
        <v>70</v>
      </c>
      <c r="L63" s="20" t="s">
        <v>71</v>
      </c>
      <c r="M63" s="20" t="s">
        <v>72</v>
      </c>
      <c r="N63" s="20" t="s">
        <v>59</v>
      </c>
      <c r="O63" s="20" t="s">
        <v>59</v>
      </c>
      <c r="P63" s="21" t="s">
        <v>207</v>
      </c>
      <c r="Q63" s="20" t="s">
        <v>166</v>
      </c>
      <c r="R63" s="21" t="s">
        <v>166</v>
      </c>
      <c r="S63" s="21" t="s">
        <v>76</v>
      </c>
      <c r="T63" s="20" t="n">
        <v>0</v>
      </c>
      <c r="U63" s="22" t="s">
        <v>77</v>
      </c>
      <c r="V63" s="20" t="s">
        <v>78</v>
      </c>
      <c r="Y63" s="20" t="s">
        <v>79</v>
      </c>
      <c r="Z63" s="20" t="s">
        <v>80</v>
      </c>
      <c r="AA63" s="20" t="s">
        <v>81</v>
      </c>
      <c r="AB63" s="20" t="s">
        <v>82</v>
      </c>
      <c r="AD63" s="20" t="str">
        <f aca="false">Q63</f>
        <v>InterfaceID</v>
      </c>
      <c r="AF63" s="20" t="n">
        <f aca="false">COUNTIF($AE$2:$AE$218,AE63)</f>
        <v>0</v>
      </c>
      <c r="AH63" s="21"/>
      <c r="AY63" s="22"/>
      <c r="AZ63" s="22"/>
      <c r="BA63" s="22"/>
      <c r="BB63" s="22"/>
      <c r="BC63" s="22"/>
      <c r="BD63" s="22"/>
      <c r="BE63" s="22"/>
      <c r="BF63" s="22"/>
      <c r="BG63" s="0"/>
      <c r="BH63" s="0"/>
    </row>
    <row r="64" s="20" customFormat="true" ht="24" hidden="false" customHeight="true" outlineLevel="0" collapsed="false">
      <c r="A64" s="20" t="s">
        <v>50</v>
      </c>
      <c r="B64" s="20" t="s">
        <v>50</v>
      </c>
      <c r="C64" s="21" t="s">
        <v>51</v>
      </c>
      <c r="D64" s="21"/>
      <c r="E64" s="20" t="s">
        <v>59</v>
      </c>
      <c r="F64" s="20" t="s">
        <v>59</v>
      </c>
      <c r="G64" s="21" t="s">
        <v>60</v>
      </c>
      <c r="H64" s="20" t="s">
        <v>52</v>
      </c>
      <c r="I64" s="23" t="s">
        <v>69</v>
      </c>
      <c r="J64" s="23" t="s">
        <v>52</v>
      </c>
      <c r="K64" s="23" t="s">
        <v>70</v>
      </c>
      <c r="L64" s="20" t="s">
        <v>71</v>
      </c>
      <c r="M64" s="20" t="s">
        <v>72</v>
      </c>
      <c r="N64" s="20" t="s">
        <v>59</v>
      </c>
      <c r="O64" s="20" t="s">
        <v>59</v>
      </c>
      <c r="P64" s="21" t="s">
        <v>207</v>
      </c>
      <c r="Q64" s="20" t="s">
        <v>208</v>
      </c>
      <c r="R64" s="21" t="s">
        <v>208</v>
      </c>
      <c r="S64" s="21"/>
      <c r="T64" s="20" t="n">
        <v>1</v>
      </c>
      <c r="U64" s="22" t="s">
        <v>77</v>
      </c>
      <c r="V64" s="20" t="s">
        <v>85</v>
      </c>
      <c r="Y64" s="20" t="s">
        <v>79</v>
      </c>
      <c r="AF64" s="20" t="n">
        <f aca="false">COUNTIF($AE$2:$AE$218,AE64)</f>
        <v>0</v>
      </c>
      <c r="AH64" s="21"/>
      <c r="AY64" s="22"/>
      <c r="AZ64" s="22"/>
      <c r="BA64" s="22"/>
      <c r="BB64" s="22"/>
      <c r="BC64" s="22"/>
      <c r="BD64" s="22"/>
      <c r="BE64" s="22"/>
      <c r="BF64" s="22"/>
      <c r="BG64" s="0"/>
      <c r="BH64" s="0"/>
    </row>
    <row r="65" s="23" customFormat="true" ht="24" hidden="false" customHeight="true" outlineLevel="0" collapsed="false">
      <c r="A65" s="23" t="s">
        <v>50</v>
      </c>
      <c r="B65" s="23" t="s">
        <v>50</v>
      </c>
      <c r="C65" s="24" t="s">
        <v>51</v>
      </c>
      <c r="D65" s="24"/>
      <c r="E65" s="23" t="s">
        <v>63</v>
      </c>
      <c r="F65" s="23" t="s">
        <v>63</v>
      </c>
      <c r="G65" s="24" t="s">
        <v>64</v>
      </c>
      <c r="H65" s="23" t="s">
        <v>52</v>
      </c>
      <c r="I65" s="23" t="s">
        <v>69</v>
      </c>
      <c r="J65" s="23" t="s">
        <v>52</v>
      </c>
      <c r="K65" s="23" t="s">
        <v>70</v>
      </c>
      <c r="L65" s="23" t="s">
        <v>71</v>
      </c>
      <c r="M65" s="23" t="s">
        <v>72</v>
      </c>
      <c r="N65" s="23" t="s">
        <v>209</v>
      </c>
      <c r="O65" s="23" t="s">
        <v>209</v>
      </c>
      <c r="P65" s="24" t="s">
        <v>210</v>
      </c>
      <c r="Q65" s="23" t="s">
        <v>211</v>
      </c>
      <c r="R65" s="23" t="s">
        <v>211</v>
      </c>
      <c r="S65" s="24" t="s">
        <v>76</v>
      </c>
      <c r="T65" s="23" t="n">
        <v>0</v>
      </c>
      <c r="U65" s="22" t="s">
        <v>77</v>
      </c>
      <c r="V65" s="23" t="s">
        <v>78</v>
      </c>
      <c r="Y65" s="23" t="s">
        <v>79</v>
      </c>
      <c r="Z65" s="23" t="s">
        <v>80</v>
      </c>
      <c r="AA65" s="23" t="s">
        <v>81</v>
      </c>
      <c r="AB65" s="23" t="s">
        <v>82</v>
      </c>
      <c r="AD65" s="23" t="str">
        <f aca="false">Q65</f>
        <v>PartyPartyIdentID</v>
      </c>
      <c r="AF65" s="23" t="n">
        <f aca="false">COUNTIF($AE$2:$AE$218,AE65)</f>
        <v>0</v>
      </c>
      <c r="AH65" s="24"/>
      <c r="AY65" s="22"/>
      <c r="AZ65" s="22"/>
      <c r="BA65" s="22"/>
      <c r="BB65" s="22"/>
      <c r="BC65" s="22"/>
      <c r="BD65" s="22"/>
      <c r="BE65" s="22"/>
      <c r="BF65" s="22"/>
      <c r="BG65" s="0"/>
      <c r="BH65" s="0"/>
    </row>
    <row r="66" s="23" customFormat="true" ht="24" hidden="false" customHeight="true" outlineLevel="0" collapsed="false">
      <c r="A66" s="23" t="s">
        <v>50</v>
      </c>
      <c r="B66" s="23" t="s">
        <v>50</v>
      </c>
      <c r="C66" s="24" t="s">
        <v>51</v>
      </c>
      <c r="D66" s="24"/>
      <c r="E66" s="23" t="s">
        <v>63</v>
      </c>
      <c r="F66" s="23" t="s">
        <v>63</v>
      </c>
      <c r="G66" s="24" t="s">
        <v>64</v>
      </c>
      <c r="H66" s="23" t="s">
        <v>52</v>
      </c>
      <c r="I66" s="23" t="s">
        <v>69</v>
      </c>
      <c r="J66" s="23" t="s">
        <v>52</v>
      </c>
      <c r="K66" s="23" t="s">
        <v>70</v>
      </c>
      <c r="L66" s="23" t="s">
        <v>71</v>
      </c>
      <c r="M66" s="23" t="s">
        <v>72</v>
      </c>
      <c r="N66" s="23" t="s">
        <v>209</v>
      </c>
      <c r="O66" s="23" t="s">
        <v>209</v>
      </c>
      <c r="P66" s="24" t="s">
        <v>210</v>
      </c>
      <c r="Q66" s="23" t="s">
        <v>130</v>
      </c>
      <c r="R66" s="23" t="s">
        <v>130</v>
      </c>
      <c r="S66" s="24"/>
      <c r="T66" s="23" t="n">
        <v>1</v>
      </c>
      <c r="U66" s="22" t="s">
        <v>77</v>
      </c>
      <c r="V66" s="23" t="s">
        <v>78</v>
      </c>
      <c r="Y66" s="23" t="s">
        <v>79</v>
      </c>
      <c r="AA66" s="23" t="s">
        <v>163</v>
      </c>
      <c r="AB66" s="23" t="s">
        <v>163</v>
      </c>
      <c r="AD66" s="20" t="str">
        <f aca="false">Q66</f>
        <v>PartyIdentificationInstanceID</v>
      </c>
      <c r="AE66" s="23" t="s">
        <v>212</v>
      </c>
      <c r="AF66" s="23" t="n">
        <f aca="false">COUNTIF($AE$2:$AE$218,AE66)</f>
        <v>1</v>
      </c>
      <c r="AG66" s="23" t="s">
        <v>213</v>
      </c>
      <c r="AH66" s="24"/>
      <c r="AI66" s="23" t="s">
        <v>72</v>
      </c>
      <c r="AJ66" s="26" t="s">
        <v>209</v>
      </c>
      <c r="AK66" s="25" t="s">
        <v>135</v>
      </c>
      <c r="AL66" s="25" t="s">
        <v>135</v>
      </c>
      <c r="AM66" s="25" t="str">
        <f aca="false">AA66</f>
        <v>FK-PartyIdentification</v>
      </c>
      <c r="AN66" s="23" t="s">
        <v>130</v>
      </c>
      <c r="AP66" s="23" t="s">
        <v>172</v>
      </c>
      <c r="AQ66" s="20" t="s">
        <v>137</v>
      </c>
      <c r="AR66" s="26" t="s">
        <v>128</v>
      </c>
      <c r="AS66" s="25" t="s">
        <v>138</v>
      </c>
      <c r="AT66" s="25" t="s">
        <v>138</v>
      </c>
      <c r="AU66" s="25" t="s">
        <v>81</v>
      </c>
      <c r="AV66" s="23" t="s">
        <v>130</v>
      </c>
      <c r="AX66" s="23" t="s">
        <v>136</v>
      </c>
      <c r="AY66" s="22"/>
      <c r="AZ66" s="22"/>
      <c r="BA66" s="22"/>
      <c r="BB66" s="22"/>
      <c r="BC66" s="22"/>
      <c r="BD66" s="22"/>
      <c r="BE66" s="22"/>
      <c r="BF66" s="22"/>
      <c r="BG66" s="0"/>
      <c r="BH66" s="0"/>
    </row>
    <row r="67" s="23" customFormat="true" ht="24" hidden="false" customHeight="true" outlineLevel="0" collapsed="false">
      <c r="A67" s="23" t="s">
        <v>50</v>
      </c>
      <c r="B67" s="23" t="s">
        <v>50</v>
      </c>
      <c r="C67" s="24" t="s">
        <v>51</v>
      </c>
      <c r="D67" s="24"/>
      <c r="E67" s="23" t="s">
        <v>63</v>
      </c>
      <c r="F67" s="23" t="s">
        <v>63</v>
      </c>
      <c r="G67" s="24" t="s">
        <v>64</v>
      </c>
      <c r="H67" s="23" t="s">
        <v>52</v>
      </c>
      <c r="I67" s="23" t="s">
        <v>69</v>
      </c>
      <c r="J67" s="23" t="s">
        <v>52</v>
      </c>
      <c r="K67" s="23" t="s">
        <v>70</v>
      </c>
      <c r="L67" s="23" t="s">
        <v>71</v>
      </c>
      <c r="M67" s="23" t="s">
        <v>72</v>
      </c>
      <c r="N67" s="23" t="s">
        <v>209</v>
      </c>
      <c r="O67" s="23" t="s">
        <v>209</v>
      </c>
      <c r="P67" s="24" t="s">
        <v>210</v>
      </c>
      <c r="Q67" s="23" t="s">
        <v>214</v>
      </c>
      <c r="R67" s="23" t="s">
        <v>214</v>
      </c>
      <c r="S67" s="24"/>
      <c r="T67" s="23" t="n">
        <v>2</v>
      </c>
      <c r="U67" s="22" t="s">
        <v>77</v>
      </c>
      <c r="V67" s="23" t="s">
        <v>78</v>
      </c>
      <c r="Y67" s="23" t="s">
        <v>79</v>
      </c>
      <c r="AA67" s="23" t="s">
        <v>215</v>
      </c>
      <c r="AB67" s="23" t="s">
        <v>215</v>
      </c>
      <c r="AD67" s="20" t="str">
        <f aca="false">Q67</f>
        <v>PartyIdentifier</v>
      </c>
      <c r="AE67" s="23" t="s">
        <v>216</v>
      </c>
      <c r="AF67" s="23" t="n">
        <f aca="false">COUNTIF($AE$2:$AE$218,AE67)</f>
        <v>1</v>
      </c>
      <c r="AG67" s="23" t="s">
        <v>63</v>
      </c>
      <c r="AH67" s="24"/>
      <c r="AI67" s="23" t="s">
        <v>72</v>
      </c>
      <c r="AJ67" s="26" t="s">
        <v>209</v>
      </c>
      <c r="AK67" s="25" t="s">
        <v>135</v>
      </c>
      <c r="AL67" s="25" t="s">
        <v>135</v>
      </c>
      <c r="AM67" s="25" t="str">
        <f aca="false">AA67</f>
        <v>FK-Party</v>
      </c>
      <c r="AN67" s="23" t="s">
        <v>214</v>
      </c>
      <c r="AP67" s="23" t="s">
        <v>172</v>
      </c>
      <c r="AQ67" s="20" t="s">
        <v>137</v>
      </c>
      <c r="AR67" s="26" t="s">
        <v>63</v>
      </c>
      <c r="AS67" s="25" t="s">
        <v>138</v>
      </c>
      <c r="AT67" s="25" t="s">
        <v>138</v>
      </c>
      <c r="AU67" s="25" t="s">
        <v>81</v>
      </c>
      <c r="AV67" s="23" t="s">
        <v>214</v>
      </c>
      <c r="AX67" s="23" t="s">
        <v>136</v>
      </c>
      <c r="AY67" s="22"/>
      <c r="AZ67" s="22"/>
      <c r="BA67" s="22"/>
      <c r="BB67" s="22"/>
      <c r="BC67" s="22"/>
      <c r="BD67" s="22"/>
      <c r="BE67" s="22"/>
      <c r="BF67" s="22"/>
      <c r="BG67" s="0"/>
      <c r="BH67" s="0"/>
    </row>
    <row r="68" s="20" customFormat="true" ht="24" hidden="false" customHeight="true" outlineLevel="0" collapsed="false">
      <c r="A68" s="20" t="s">
        <v>50</v>
      </c>
      <c r="B68" s="20" t="s">
        <v>50</v>
      </c>
      <c r="C68" s="21" t="s">
        <v>51</v>
      </c>
      <c r="D68" s="21"/>
      <c r="E68" s="20" t="s">
        <v>63</v>
      </c>
      <c r="F68" s="20" t="s">
        <v>63</v>
      </c>
      <c r="G68" s="21" t="s">
        <v>64</v>
      </c>
      <c r="H68" s="20" t="s">
        <v>52</v>
      </c>
      <c r="I68" s="23" t="s">
        <v>69</v>
      </c>
      <c r="J68" s="23" t="s">
        <v>52</v>
      </c>
      <c r="K68" s="23" t="s">
        <v>70</v>
      </c>
      <c r="L68" s="20" t="s">
        <v>71</v>
      </c>
      <c r="M68" s="20" t="s">
        <v>72</v>
      </c>
      <c r="N68" s="20" t="s">
        <v>63</v>
      </c>
      <c r="O68" s="20" t="s">
        <v>63</v>
      </c>
      <c r="P68" s="21" t="s">
        <v>217</v>
      </c>
      <c r="Q68" s="20" t="s">
        <v>214</v>
      </c>
      <c r="R68" s="20" t="s">
        <v>214</v>
      </c>
      <c r="S68" s="21" t="s">
        <v>76</v>
      </c>
      <c r="T68" s="20" t="n">
        <v>0</v>
      </c>
      <c r="U68" s="22" t="s">
        <v>77</v>
      </c>
      <c r="V68" s="20" t="s">
        <v>78</v>
      </c>
      <c r="Y68" s="20" t="s">
        <v>79</v>
      </c>
      <c r="Z68" s="20" t="s">
        <v>80</v>
      </c>
      <c r="AA68" s="20" t="s">
        <v>81</v>
      </c>
      <c r="AB68" s="20" t="s">
        <v>82</v>
      </c>
      <c r="AD68" s="20" t="str">
        <f aca="false">Q68</f>
        <v>PartyIdentifier</v>
      </c>
      <c r="AF68" s="20" t="n">
        <f aca="false">COUNTIF($AE$2:$AE$218,AE68)</f>
        <v>0</v>
      </c>
      <c r="AH68" s="21"/>
      <c r="AY68" s="22"/>
      <c r="AZ68" s="22"/>
      <c r="BA68" s="22"/>
      <c r="BB68" s="22"/>
      <c r="BC68" s="22"/>
      <c r="BD68" s="22"/>
      <c r="BE68" s="22"/>
      <c r="BF68" s="22"/>
      <c r="BG68" s="0"/>
      <c r="BH68" s="0"/>
    </row>
    <row r="69" s="23" customFormat="true" ht="24" hidden="false" customHeight="true" outlineLevel="0" collapsed="false">
      <c r="A69" s="23" t="s">
        <v>50</v>
      </c>
      <c r="B69" s="23" t="s">
        <v>50</v>
      </c>
      <c r="C69" s="24" t="s">
        <v>51</v>
      </c>
      <c r="D69" s="24"/>
      <c r="E69" s="23" t="s">
        <v>55</v>
      </c>
      <c r="F69" s="23" t="s">
        <v>55</v>
      </c>
      <c r="G69" s="24" t="s">
        <v>56</v>
      </c>
      <c r="H69" s="23" t="s">
        <v>52</v>
      </c>
      <c r="I69" s="23" t="s">
        <v>69</v>
      </c>
      <c r="J69" s="23" t="s">
        <v>52</v>
      </c>
      <c r="K69" s="23" t="s">
        <v>70</v>
      </c>
      <c r="L69" s="23" t="s">
        <v>71</v>
      </c>
      <c r="M69" s="23" t="s">
        <v>72</v>
      </c>
      <c r="N69" s="23" t="s">
        <v>218</v>
      </c>
      <c r="O69" s="23" t="s">
        <v>219</v>
      </c>
      <c r="P69" s="24" t="s">
        <v>220</v>
      </c>
      <c r="Q69" s="23" t="s">
        <v>221</v>
      </c>
      <c r="R69" s="24" t="s">
        <v>221</v>
      </c>
      <c r="S69" s="24" t="s">
        <v>76</v>
      </c>
      <c r="T69" s="23" t="n">
        <v>0</v>
      </c>
      <c r="U69" s="22" t="s">
        <v>77</v>
      </c>
      <c r="V69" s="23" t="s">
        <v>78</v>
      </c>
      <c r="Y69" s="23" t="s">
        <v>79</v>
      </c>
      <c r="Z69" s="23" t="s">
        <v>80</v>
      </c>
      <c r="AA69" s="23" t="s">
        <v>81</v>
      </c>
      <c r="AB69" s="23" t="s">
        <v>82</v>
      </c>
      <c r="AD69" s="23" t="str">
        <f aca="false">Q69</f>
        <v>PaymentPartyRoleID</v>
      </c>
      <c r="AF69" s="23" t="n">
        <f aca="false">COUNTIF($AE$2:$AE$218,AE69)</f>
        <v>0</v>
      </c>
      <c r="AH69" s="24"/>
      <c r="AY69" s="22"/>
      <c r="AZ69" s="22"/>
      <c r="BA69" s="22"/>
      <c r="BB69" s="22"/>
      <c r="BC69" s="22"/>
      <c r="BD69" s="22"/>
      <c r="BE69" s="22"/>
      <c r="BF69" s="22"/>
      <c r="BG69" s="0"/>
      <c r="BH69" s="0"/>
    </row>
    <row r="70" s="23" customFormat="true" ht="24" hidden="false" customHeight="true" outlineLevel="0" collapsed="false">
      <c r="A70" s="23" t="s">
        <v>50</v>
      </c>
      <c r="B70" s="23" t="s">
        <v>50</v>
      </c>
      <c r="C70" s="24" t="s">
        <v>51</v>
      </c>
      <c r="D70" s="24"/>
      <c r="E70" s="23" t="s">
        <v>55</v>
      </c>
      <c r="F70" s="23" t="s">
        <v>55</v>
      </c>
      <c r="G70" s="24" t="s">
        <v>56</v>
      </c>
      <c r="H70" s="23" t="s">
        <v>52</v>
      </c>
      <c r="I70" s="23" t="s">
        <v>69</v>
      </c>
      <c r="J70" s="23" t="s">
        <v>52</v>
      </c>
      <c r="K70" s="23" t="s">
        <v>70</v>
      </c>
      <c r="L70" s="23" t="s">
        <v>71</v>
      </c>
      <c r="M70" s="23" t="s">
        <v>72</v>
      </c>
      <c r="N70" s="23" t="s">
        <v>218</v>
      </c>
      <c r="O70" s="23" t="s">
        <v>219</v>
      </c>
      <c r="P70" s="24" t="s">
        <v>220</v>
      </c>
      <c r="Q70" s="23" t="s">
        <v>180</v>
      </c>
      <c r="R70" s="24" t="s">
        <v>180</v>
      </c>
      <c r="S70" s="24" t="s">
        <v>222</v>
      </c>
      <c r="T70" s="23" t="n">
        <v>1</v>
      </c>
      <c r="U70" s="22" t="s">
        <v>77</v>
      </c>
      <c r="V70" s="23" t="s">
        <v>78</v>
      </c>
      <c r="Y70" s="23" t="s">
        <v>79</v>
      </c>
      <c r="AA70" s="23" t="s">
        <v>181</v>
      </c>
      <c r="AB70" s="23" t="s">
        <v>181</v>
      </c>
      <c r="AD70" s="20" t="str">
        <f aca="false">Q70</f>
        <v>PaymentInstructionInternalIdentifier</v>
      </c>
      <c r="AE70" s="23" t="s">
        <v>223</v>
      </c>
      <c r="AF70" s="23" t="n">
        <f aca="false">COUNTIF($AE$2:$AE$218,AE70)</f>
        <v>1</v>
      </c>
      <c r="AG70" s="23" t="s">
        <v>55</v>
      </c>
      <c r="AH70" s="24" t="s">
        <v>224</v>
      </c>
      <c r="AI70" s="23" t="s">
        <v>72</v>
      </c>
      <c r="AJ70" s="26" t="s">
        <v>218</v>
      </c>
      <c r="AK70" s="25" t="s">
        <v>135</v>
      </c>
      <c r="AL70" s="25" t="s">
        <v>135</v>
      </c>
      <c r="AM70" s="25" t="str">
        <f aca="false">AA70</f>
        <v>FK-PaymentInstruction</v>
      </c>
      <c r="AN70" s="23" t="s">
        <v>180</v>
      </c>
      <c r="AP70" s="23" t="s">
        <v>172</v>
      </c>
      <c r="AQ70" s="20" t="s">
        <v>137</v>
      </c>
      <c r="AR70" s="26" t="s">
        <v>183</v>
      </c>
      <c r="AS70" s="25" t="s">
        <v>138</v>
      </c>
      <c r="AT70" s="25" t="s">
        <v>138</v>
      </c>
      <c r="AU70" s="25" t="s">
        <v>81</v>
      </c>
      <c r="AV70" s="23" t="s">
        <v>180</v>
      </c>
      <c r="AX70" s="23" t="s">
        <v>136</v>
      </c>
      <c r="AY70" s="22"/>
      <c r="AZ70" s="22"/>
      <c r="BA70" s="22"/>
      <c r="BB70" s="22"/>
      <c r="BC70" s="22"/>
      <c r="BD70" s="22"/>
      <c r="BE70" s="22"/>
      <c r="BF70" s="22"/>
      <c r="BG70" s="0"/>
      <c r="BH70" s="0"/>
    </row>
    <row r="71" s="23" customFormat="true" ht="24" hidden="false" customHeight="true" outlineLevel="0" collapsed="false">
      <c r="A71" s="23" t="s">
        <v>50</v>
      </c>
      <c r="B71" s="23" t="s">
        <v>50</v>
      </c>
      <c r="C71" s="24" t="s">
        <v>51</v>
      </c>
      <c r="D71" s="24"/>
      <c r="E71" s="23" t="s">
        <v>55</v>
      </c>
      <c r="F71" s="23" t="s">
        <v>55</v>
      </c>
      <c r="G71" s="24" t="s">
        <v>56</v>
      </c>
      <c r="H71" s="23" t="s">
        <v>52</v>
      </c>
      <c r="I71" s="23" t="s">
        <v>69</v>
      </c>
      <c r="J71" s="23" t="s">
        <v>52</v>
      </c>
      <c r="K71" s="23" t="s">
        <v>70</v>
      </c>
      <c r="L71" s="23" t="s">
        <v>71</v>
      </c>
      <c r="M71" s="23" t="s">
        <v>72</v>
      </c>
      <c r="N71" s="23" t="s">
        <v>218</v>
      </c>
      <c r="O71" s="23" t="s">
        <v>219</v>
      </c>
      <c r="P71" s="24" t="s">
        <v>220</v>
      </c>
      <c r="Q71" s="23" t="s">
        <v>130</v>
      </c>
      <c r="R71" s="24" t="s">
        <v>130</v>
      </c>
      <c r="S71" s="24" t="s">
        <v>225</v>
      </c>
      <c r="T71" s="23" t="n">
        <v>2</v>
      </c>
      <c r="U71" s="22" t="s">
        <v>77</v>
      </c>
      <c r="V71" s="23" t="s">
        <v>78</v>
      </c>
      <c r="Y71" s="23" t="s">
        <v>79</v>
      </c>
      <c r="AA71" s="23" t="s">
        <v>163</v>
      </c>
      <c r="AB71" s="23" t="s">
        <v>163</v>
      </c>
      <c r="AD71" s="20" t="str">
        <f aca="false">Q71</f>
        <v>PartyIdentificationInstanceID</v>
      </c>
      <c r="AE71" s="23" t="s">
        <v>226</v>
      </c>
      <c r="AF71" s="23" t="n">
        <f aca="false">COUNTIF($AE$2:$AE$218,AE71)</f>
        <v>1</v>
      </c>
      <c r="AG71" s="23" t="s">
        <v>128</v>
      </c>
      <c r="AH71" s="24" t="s">
        <v>165</v>
      </c>
      <c r="AI71" s="23" t="s">
        <v>72</v>
      </c>
      <c r="AJ71" s="26" t="s">
        <v>218</v>
      </c>
      <c r="AK71" s="25" t="s">
        <v>135</v>
      </c>
      <c r="AL71" s="25" t="s">
        <v>135</v>
      </c>
      <c r="AM71" s="25" t="str">
        <f aca="false">AA71</f>
        <v>FK-PartyIdentification</v>
      </c>
      <c r="AN71" s="23" t="s">
        <v>130</v>
      </c>
      <c r="AP71" s="23" t="s">
        <v>136</v>
      </c>
      <c r="AQ71" s="20" t="s">
        <v>137</v>
      </c>
      <c r="AR71" s="26" t="s">
        <v>128</v>
      </c>
      <c r="AS71" s="25" t="s">
        <v>138</v>
      </c>
      <c r="AT71" s="25" t="s">
        <v>138</v>
      </c>
      <c r="AU71" s="25" t="s">
        <v>81</v>
      </c>
      <c r="AV71" s="23" t="s">
        <v>130</v>
      </c>
      <c r="AX71" s="23" t="s">
        <v>136</v>
      </c>
      <c r="AY71" s="22"/>
      <c r="AZ71" s="22"/>
      <c r="BA71" s="22"/>
      <c r="BB71" s="22"/>
      <c r="BC71" s="22"/>
      <c r="BD71" s="22"/>
      <c r="BE71" s="22"/>
      <c r="BF71" s="22"/>
      <c r="BG71" s="0"/>
      <c r="BH71" s="0"/>
    </row>
    <row r="72" s="23" customFormat="true" ht="24" hidden="false" customHeight="true" outlineLevel="0" collapsed="false">
      <c r="A72" s="23" t="s">
        <v>50</v>
      </c>
      <c r="B72" s="23" t="s">
        <v>50</v>
      </c>
      <c r="C72" s="24" t="s">
        <v>51</v>
      </c>
      <c r="D72" s="24"/>
      <c r="E72" s="23" t="s">
        <v>55</v>
      </c>
      <c r="F72" s="23" t="s">
        <v>55</v>
      </c>
      <c r="G72" s="24" t="s">
        <v>56</v>
      </c>
      <c r="H72" s="23" t="s">
        <v>52</v>
      </c>
      <c r="I72" s="23" t="s">
        <v>69</v>
      </c>
      <c r="J72" s="23" t="s">
        <v>52</v>
      </c>
      <c r="K72" s="23" t="s">
        <v>70</v>
      </c>
      <c r="L72" s="23" t="s">
        <v>71</v>
      </c>
      <c r="M72" s="23" t="s">
        <v>72</v>
      </c>
      <c r="N72" s="23" t="s">
        <v>218</v>
      </c>
      <c r="O72" s="23" t="s">
        <v>219</v>
      </c>
      <c r="P72" s="24" t="s">
        <v>220</v>
      </c>
      <c r="Q72" s="23" t="s">
        <v>227</v>
      </c>
      <c r="R72" s="24" t="s">
        <v>227</v>
      </c>
      <c r="S72" s="24" t="s">
        <v>228</v>
      </c>
      <c r="T72" s="23" t="n">
        <v>3</v>
      </c>
      <c r="U72" s="22" t="s">
        <v>77</v>
      </c>
      <c r="V72" s="23" t="s">
        <v>85</v>
      </c>
      <c r="Y72" s="23" t="s">
        <v>79</v>
      </c>
      <c r="AH72" s="24"/>
      <c r="AJ72" s="26"/>
      <c r="AK72" s="26"/>
      <c r="AL72" s="26"/>
      <c r="AM72" s="26"/>
      <c r="AR72" s="26"/>
      <c r="AS72" s="26"/>
      <c r="AT72" s="26"/>
      <c r="AU72" s="26"/>
      <c r="AY72" s="22"/>
      <c r="AZ72" s="22"/>
      <c r="BA72" s="22"/>
      <c r="BB72" s="22"/>
      <c r="BC72" s="22"/>
      <c r="BD72" s="22"/>
      <c r="BE72" s="22"/>
      <c r="BF72" s="22"/>
      <c r="BG72" s="0"/>
      <c r="BH72" s="0"/>
    </row>
    <row r="73" s="23" customFormat="true" ht="24" hidden="false" customHeight="true" outlineLevel="0" collapsed="false">
      <c r="A73" s="23" t="s">
        <v>50</v>
      </c>
      <c r="B73" s="23" t="s">
        <v>50</v>
      </c>
      <c r="C73" s="24" t="s">
        <v>51</v>
      </c>
      <c r="D73" s="24"/>
      <c r="E73" s="23" t="s">
        <v>55</v>
      </c>
      <c r="F73" s="23" t="s">
        <v>55</v>
      </c>
      <c r="G73" s="24" t="s">
        <v>56</v>
      </c>
      <c r="H73" s="23" t="s">
        <v>52</v>
      </c>
      <c r="I73" s="23" t="s">
        <v>69</v>
      </c>
      <c r="J73" s="23" t="s">
        <v>52</v>
      </c>
      <c r="K73" s="23" t="s">
        <v>70</v>
      </c>
      <c r="L73" s="23" t="s">
        <v>71</v>
      </c>
      <c r="M73" s="23" t="s">
        <v>72</v>
      </c>
      <c r="N73" s="23" t="s">
        <v>218</v>
      </c>
      <c r="O73" s="23" t="s">
        <v>219</v>
      </c>
      <c r="P73" s="24" t="s">
        <v>220</v>
      </c>
      <c r="Q73" s="23" t="s">
        <v>229</v>
      </c>
      <c r="R73" s="24" t="s">
        <v>229</v>
      </c>
      <c r="S73" s="24" t="s">
        <v>230</v>
      </c>
      <c r="T73" s="23" t="n">
        <v>4</v>
      </c>
      <c r="U73" s="22" t="s">
        <v>77</v>
      </c>
      <c r="V73" s="23" t="s">
        <v>78</v>
      </c>
      <c r="Y73" s="23" t="s">
        <v>80</v>
      </c>
      <c r="AA73" s="23" t="s">
        <v>231</v>
      </c>
      <c r="AB73" s="23" t="s">
        <v>231</v>
      </c>
      <c r="AD73" s="20" t="str">
        <f aca="false">Q73</f>
        <v>PartyRoleAccountID</v>
      </c>
      <c r="AE73" s="23" t="s">
        <v>232</v>
      </c>
      <c r="AF73" s="23" t="n">
        <f aca="false">COUNTIF($AE$2:$AE$218,AE73)</f>
        <v>1</v>
      </c>
      <c r="AG73" s="23" t="s">
        <v>233</v>
      </c>
      <c r="AH73" s="24" t="s">
        <v>234</v>
      </c>
      <c r="AI73" s="23" t="s">
        <v>72</v>
      </c>
      <c r="AJ73" s="26" t="s">
        <v>218</v>
      </c>
      <c r="AK73" s="25" t="s">
        <v>135</v>
      </c>
      <c r="AL73" s="25" t="s">
        <v>135</v>
      </c>
      <c r="AM73" s="25" t="str">
        <f aca="false">AA73</f>
        <v>FK-PartyRoleAccount</v>
      </c>
      <c r="AN73" s="23" t="s">
        <v>229</v>
      </c>
      <c r="AP73" s="23" t="s">
        <v>172</v>
      </c>
      <c r="AQ73" s="20" t="s">
        <v>137</v>
      </c>
      <c r="AR73" s="26" t="s">
        <v>235</v>
      </c>
      <c r="AS73" s="25" t="s">
        <v>138</v>
      </c>
      <c r="AT73" s="25" t="s">
        <v>138</v>
      </c>
      <c r="AU73" s="25" t="s">
        <v>81</v>
      </c>
      <c r="AV73" s="23" t="s">
        <v>229</v>
      </c>
      <c r="AX73" s="23" t="s">
        <v>136</v>
      </c>
      <c r="AY73" s="22"/>
      <c r="AZ73" s="22"/>
      <c r="BA73" s="22"/>
      <c r="BB73" s="22"/>
      <c r="BC73" s="22"/>
      <c r="BD73" s="22"/>
      <c r="BE73" s="22"/>
      <c r="BF73" s="22"/>
      <c r="BG73" s="0"/>
      <c r="BH73" s="0"/>
    </row>
    <row r="74" s="20" customFormat="true" ht="24" hidden="false" customHeight="true" outlineLevel="0" collapsed="false">
      <c r="A74" s="20" t="s">
        <v>50</v>
      </c>
      <c r="B74" s="20" t="s">
        <v>50</v>
      </c>
      <c r="C74" s="21" t="s">
        <v>51</v>
      </c>
      <c r="D74" s="21"/>
      <c r="E74" s="20" t="s">
        <v>63</v>
      </c>
      <c r="F74" s="20" t="s">
        <v>63</v>
      </c>
      <c r="G74" s="21" t="s">
        <v>64</v>
      </c>
      <c r="H74" s="20" t="s">
        <v>52</v>
      </c>
      <c r="I74" s="23" t="s">
        <v>69</v>
      </c>
      <c r="J74" s="23" t="s">
        <v>52</v>
      </c>
      <c r="K74" s="23" t="s">
        <v>70</v>
      </c>
      <c r="L74" s="20" t="s">
        <v>71</v>
      </c>
      <c r="M74" s="20" t="s">
        <v>72</v>
      </c>
      <c r="N74" s="20" t="s">
        <v>235</v>
      </c>
      <c r="O74" s="20" t="s">
        <v>235</v>
      </c>
      <c r="P74" s="21" t="s">
        <v>236</v>
      </c>
      <c r="Q74" s="20" t="s">
        <v>229</v>
      </c>
      <c r="R74" s="21" t="s">
        <v>229</v>
      </c>
      <c r="S74" s="21" t="s">
        <v>76</v>
      </c>
      <c r="T74" s="20" t="n">
        <v>0</v>
      </c>
      <c r="U74" s="22" t="s">
        <v>77</v>
      </c>
      <c r="V74" s="20" t="s">
        <v>78</v>
      </c>
      <c r="Y74" s="20" t="s">
        <v>79</v>
      </c>
      <c r="Z74" s="20" t="s">
        <v>80</v>
      </c>
      <c r="AA74" s="20" t="s">
        <v>81</v>
      </c>
      <c r="AB74" s="20" t="s">
        <v>82</v>
      </c>
      <c r="AD74" s="20" t="str">
        <f aca="false">Q74</f>
        <v>PartyRoleAccountID</v>
      </c>
      <c r="AF74" s="20" t="n">
        <f aca="false">COUNTIF($AE$2:$AE$218,AE74)</f>
        <v>0</v>
      </c>
      <c r="AH74" s="21"/>
      <c r="AY74" s="22"/>
      <c r="AZ74" s="22"/>
      <c r="BA74" s="22"/>
      <c r="BB74" s="22"/>
      <c r="BC74" s="22"/>
      <c r="BD74" s="22"/>
      <c r="BE74" s="22"/>
      <c r="BF74" s="22"/>
      <c r="BG74" s="0"/>
      <c r="BH74" s="0"/>
    </row>
    <row r="75" s="20" customFormat="true" ht="24" hidden="false" customHeight="true" outlineLevel="0" collapsed="false">
      <c r="A75" s="20" t="s">
        <v>50</v>
      </c>
      <c r="B75" s="20" t="s">
        <v>50</v>
      </c>
      <c r="C75" s="21" t="s">
        <v>51</v>
      </c>
      <c r="D75" s="21"/>
      <c r="E75" s="20" t="s">
        <v>63</v>
      </c>
      <c r="F75" s="20" t="s">
        <v>63</v>
      </c>
      <c r="G75" s="21" t="s">
        <v>64</v>
      </c>
      <c r="H75" s="20" t="s">
        <v>52</v>
      </c>
      <c r="I75" s="23" t="s">
        <v>69</v>
      </c>
      <c r="J75" s="23" t="s">
        <v>52</v>
      </c>
      <c r="K75" s="23" t="s">
        <v>70</v>
      </c>
      <c r="L75" s="20" t="s">
        <v>71</v>
      </c>
      <c r="M75" s="20" t="s">
        <v>72</v>
      </c>
      <c r="N75" s="20" t="s">
        <v>235</v>
      </c>
      <c r="O75" s="20" t="s">
        <v>235</v>
      </c>
      <c r="P75" s="21" t="s">
        <v>236</v>
      </c>
      <c r="Q75" s="20" t="s">
        <v>237</v>
      </c>
      <c r="R75" s="21" t="s">
        <v>237</v>
      </c>
      <c r="S75" s="21" t="s">
        <v>238</v>
      </c>
      <c r="T75" s="20" t="n">
        <v>1</v>
      </c>
      <c r="U75" s="22" t="s">
        <v>77</v>
      </c>
      <c r="V75" s="20" t="s">
        <v>78</v>
      </c>
      <c r="Y75" s="20" t="s">
        <v>80</v>
      </c>
      <c r="AA75" s="23" t="s">
        <v>239</v>
      </c>
      <c r="AB75" s="23" t="s">
        <v>239</v>
      </c>
      <c r="AD75" s="20" t="str">
        <f aca="false">Q75</f>
        <v>AccountHoldingParty</v>
      </c>
      <c r="AE75" s="20" t="s">
        <v>240</v>
      </c>
      <c r="AF75" s="20" t="n">
        <f aca="false">COUNTIF($AE$2:$AE$218,AE75)</f>
        <v>1</v>
      </c>
      <c r="AG75" s="20" t="s">
        <v>241</v>
      </c>
      <c r="AH75" s="21"/>
      <c r="AI75" s="20" t="s">
        <v>72</v>
      </c>
      <c r="AJ75" s="25" t="s">
        <v>235</v>
      </c>
      <c r="AK75" s="25" t="s">
        <v>135</v>
      </c>
      <c r="AL75" s="25" t="s">
        <v>135</v>
      </c>
      <c r="AM75" s="25" t="str">
        <f aca="false">AA75</f>
        <v>FK-PartyIdentification-AccountHolding</v>
      </c>
      <c r="AN75" s="20" t="s">
        <v>237</v>
      </c>
      <c r="AP75" s="20" t="s">
        <v>136</v>
      </c>
      <c r="AQ75" s="20" t="s">
        <v>137</v>
      </c>
      <c r="AR75" s="25" t="s">
        <v>128</v>
      </c>
      <c r="AS75" s="25" t="s">
        <v>138</v>
      </c>
      <c r="AT75" s="25" t="s">
        <v>138</v>
      </c>
      <c r="AU75" s="25" t="s">
        <v>81</v>
      </c>
      <c r="AV75" s="20" t="s">
        <v>130</v>
      </c>
      <c r="AX75" s="20" t="s">
        <v>136</v>
      </c>
      <c r="AY75" s="22"/>
      <c r="AZ75" s="22"/>
      <c r="BA75" s="22"/>
      <c r="BB75" s="22"/>
      <c r="BC75" s="22"/>
      <c r="BD75" s="22"/>
      <c r="BE75" s="22"/>
      <c r="BF75" s="22"/>
      <c r="BG75" s="0"/>
      <c r="BH75" s="0"/>
    </row>
    <row r="76" s="20" customFormat="true" ht="24" hidden="false" customHeight="true" outlineLevel="0" collapsed="false">
      <c r="A76" s="20" t="s">
        <v>50</v>
      </c>
      <c r="B76" s="20" t="s">
        <v>50</v>
      </c>
      <c r="C76" s="21" t="s">
        <v>51</v>
      </c>
      <c r="D76" s="21"/>
      <c r="E76" s="20" t="s">
        <v>63</v>
      </c>
      <c r="F76" s="20" t="s">
        <v>63</v>
      </c>
      <c r="G76" s="21" t="s">
        <v>64</v>
      </c>
      <c r="H76" s="20" t="s">
        <v>52</v>
      </c>
      <c r="I76" s="23" t="s">
        <v>69</v>
      </c>
      <c r="J76" s="23" t="s">
        <v>52</v>
      </c>
      <c r="K76" s="23" t="s">
        <v>70</v>
      </c>
      <c r="L76" s="20" t="s">
        <v>71</v>
      </c>
      <c r="M76" s="20" t="s">
        <v>72</v>
      </c>
      <c r="N76" s="20" t="s">
        <v>235</v>
      </c>
      <c r="O76" s="20" t="s">
        <v>235</v>
      </c>
      <c r="P76" s="21" t="s">
        <v>236</v>
      </c>
      <c r="Q76" s="20" t="s">
        <v>242</v>
      </c>
      <c r="R76" s="21" t="s">
        <v>242</v>
      </c>
      <c r="S76" s="21" t="s">
        <v>243</v>
      </c>
      <c r="T76" s="20" t="n">
        <v>2</v>
      </c>
      <c r="U76" s="22" t="s">
        <v>77</v>
      </c>
      <c r="V76" s="20" t="s">
        <v>78</v>
      </c>
      <c r="Y76" s="20" t="s">
        <v>80</v>
      </c>
      <c r="AA76" s="23" t="s">
        <v>244</v>
      </c>
      <c r="AB76" s="23" t="s">
        <v>244</v>
      </c>
      <c r="AD76" s="20" t="str">
        <f aca="false">Q76</f>
        <v>AccountServicingParty</v>
      </c>
      <c r="AE76" s="20" t="s">
        <v>245</v>
      </c>
      <c r="AF76" s="20" t="n">
        <f aca="false">COUNTIF($AE$2:$AE$218,AE76)</f>
        <v>1</v>
      </c>
      <c r="AG76" s="20" t="s">
        <v>246</v>
      </c>
      <c r="AH76" s="21"/>
      <c r="AI76" s="20" t="s">
        <v>72</v>
      </c>
      <c r="AJ76" s="25" t="s">
        <v>235</v>
      </c>
      <c r="AK76" s="25" t="s">
        <v>135</v>
      </c>
      <c r="AL76" s="25" t="s">
        <v>135</v>
      </c>
      <c r="AM76" s="25" t="str">
        <f aca="false">AA76</f>
        <v>FK-PartyIdentification-AccountServicing</v>
      </c>
      <c r="AN76" s="20" t="s">
        <v>242</v>
      </c>
      <c r="AP76" s="20" t="s">
        <v>136</v>
      </c>
      <c r="AQ76" s="20" t="s">
        <v>137</v>
      </c>
      <c r="AR76" s="25" t="s">
        <v>128</v>
      </c>
      <c r="AS76" s="25" t="s">
        <v>138</v>
      </c>
      <c r="AT76" s="25" t="s">
        <v>138</v>
      </c>
      <c r="AU76" s="25" t="s">
        <v>81</v>
      </c>
      <c r="AV76" s="20" t="s">
        <v>130</v>
      </c>
      <c r="AX76" s="20" t="s">
        <v>136</v>
      </c>
      <c r="AY76" s="22"/>
      <c r="AZ76" s="22"/>
      <c r="BA76" s="22"/>
      <c r="BB76" s="22"/>
      <c r="BC76" s="22"/>
      <c r="BD76" s="22"/>
      <c r="BE76" s="22"/>
      <c r="BF76" s="22"/>
      <c r="BG76" s="0"/>
      <c r="BH76" s="0"/>
    </row>
    <row r="77" s="20" customFormat="true" ht="24" hidden="false" customHeight="true" outlineLevel="0" collapsed="false">
      <c r="A77" s="20" t="s">
        <v>50</v>
      </c>
      <c r="B77" s="20" t="s">
        <v>50</v>
      </c>
      <c r="C77" s="21" t="s">
        <v>51</v>
      </c>
      <c r="D77" s="21"/>
      <c r="E77" s="20" t="s">
        <v>63</v>
      </c>
      <c r="F77" s="20" t="s">
        <v>63</v>
      </c>
      <c r="G77" s="21" t="s">
        <v>64</v>
      </c>
      <c r="H77" s="20" t="s">
        <v>52</v>
      </c>
      <c r="I77" s="23" t="s">
        <v>69</v>
      </c>
      <c r="J77" s="23" t="s">
        <v>52</v>
      </c>
      <c r="K77" s="23" t="s">
        <v>70</v>
      </c>
      <c r="L77" s="20" t="s">
        <v>71</v>
      </c>
      <c r="M77" s="20" t="s">
        <v>72</v>
      </c>
      <c r="N77" s="20" t="s">
        <v>235</v>
      </c>
      <c r="O77" s="20" t="s">
        <v>235</v>
      </c>
      <c r="P77" s="21" t="s">
        <v>236</v>
      </c>
      <c r="Q77" s="20" t="s">
        <v>247</v>
      </c>
      <c r="R77" s="21" t="s">
        <v>247</v>
      </c>
      <c r="S77" s="21" t="s">
        <v>248</v>
      </c>
      <c r="T77" s="20" t="n">
        <v>3</v>
      </c>
      <c r="U77" s="22" t="s">
        <v>77</v>
      </c>
      <c r="V77" s="20" t="s">
        <v>85</v>
      </c>
      <c r="X77" s="20" t="s">
        <v>249</v>
      </c>
      <c r="Y77" s="20" t="s">
        <v>80</v>
      </c>
      <c r="AF77" s="20" t="n">
        <f aca="false">COUNTIF($AE$2:$AE$218,AE77)</f>
        <v>0</v>
      </c>
      <c r="AH77" s="21"/>
      <c r="AY77" s="22"/>
      <c r="AZ77" s="22"/>
      <c r="BA77" s="22"/>
      <c r="BB77" s="22"/>
      <c r="BC77" s="22"/>
      <c r="BD77" s="22"/>
      <c r="BE77" s="22"/>
      <c r="BF77" s="22"/>
      <c r="BG77" s="0"/>
      <c r="BH77" s="0"/>
    </row>
    <row r="78" s="20" customFormat="true" ht="24" hidden="false" customHeight="true" outlineLevel="0" collapsed="false">
      <c r="A78" s="20" t="s">
        <v>50</v>
      </c>
      <c r="B78" s="20" t="s">
        <v>50</v>
      </c>
      <c r="C78" s="21" t="s">
        <v>51</v>
      </c>
      <c r="D78" s="21"/>
      <c r="E78" s="20" t="s">
        <v>63</v>
      </c>
      <c r="F78" s="20" t="s">
        <v>63</v>
      </c>
      <c r="G78" s="21" t="s">
        <v>64</v>
      </c>
      <c r="H78" s="20" t="s">
        <v>52</v>
      </c>
      <c r="I78" s="23" t="s">
        <v>69</v>
      </c>
      <c r="J78" s="23" t="s">
        <v>52</v>
      </c>
      <c r="K78" s="23" t="s">
        <v>70</v>
      </c>
      <c r="L78" s="20" t="s">
        <v>71</v>
      </c>
      <c r="M78" s="20" t="s">
        <v>72</v>
      </c>
      <c r="N78" s="20" t="s">
        <v>235</v>
      </c>
      <c r="O78" s="20" t="s">
        <v>235</v>
      </c>
      <c r="P78" s="21" t="s">
        <v>236</v>
      </c>
      <c r="Q78" s="21" t="s">
        <v>250</v>
      </c>
      <c r="R78" s="21" t="s">
        <v>250</v>
      </c>
      <c r="S78" s="21" t="s">
        <v>251</v>
      </c>
      <c r="T78" s="20" t="n">
        <v>4</v>
      </c>
      <c r="U78" s="22" t="s">
        <v>77</v>
      </c>
      <c r="V78" s="20" t="s">
        <v>85</v>
      </c>
      <c r="X78" s="20" t="s">
        <v>249</v>
      </c>
      <c r="Y78" s="20" t="s">
        <v>80</v>
      </c>
      <c r="AF78" s="20" t="n">
        <f aca="false">COUNTIF($AE$2:$AE$218,AE78)</f>
        <v>0</v>
      </c>
      <c r="AH78" s="21"/>
      <c r="AY78" s="22"/>
      <c r="AZ78" s="22"/>
      <c r="BA78" s="22"/>
      <c r="BB78" s="22"/>
      <c r="BC78" s="22"/>
      <c r="BD78" s="22"/>
      <c r="BE78" s="22"/>
      <c r="BF78" s="22"/>
      <c r="BG78" s="0"/>
      <c r="BH78" s="0"/>
    </row>
    <row r="79" s="20" customFormat="true" ht="24" hidden="false" customHeight="true" outlineLevel="0" collapsed="false">
      <c r="A79" s="20" t="s">
        <v>50</v>
      </c>
      <c r="B79" s="20" t="s">
        <v>50</v>
      </c>
      <c r="C79" s="21" t="s">
        <v>51</v>
      </c>
      <c r="D79" s="21"/>
      <c r="E79" s="20" t="s">
        <v>63</v>
      </c>
      <c r="F79" s="20" t="s">
        <v>63</v>
      </c>
      <c r="G79" s="21" t="s">
        <v>64</v>
      </c>
      <c r="H79" s="20" t="s">
        <v>52</v>
      </c>
      <c r="I79" s="23" t="s">
        <v>69</v>
      </c>
      <c r="J79" s="23" t="s">
        <v>52</v>
      </c>
      <c r="K79" s="23" t="s">
        <v>70</v>
      </c>
      <c r="L79" s="20" t="s">
        <v>71</v>
      </c>
      <c r="M79" s="20" t="s">
        <v>72</v>
      </c>
      <c r="N79" s="20" t="s">
        <v>235</v>
      </c>
      <c r="O79" s="20" t="s">
        <v>235</v>
      </c>
      <c r="P79" s="21" t="s">
        <v>236</v>
      </c>
      <c r="Q79" s="21" t="s">
        <v>252</v>
      </c>
      <c r="R79" s="21" t="s">
        <v>252</v>
      </c>
      <c r="S79" s="21" t="s">
        <v>251</v>
      </c>
      <c r="T79" s="20" t="n">
        <v>5</v>
      </c>
      <c r="U79" s="22" t="s">
        <v>77</v>
      </c>
      <c r="V79" s="20" t="s">
        <v>85</v>
      </c>
      <c r="X79" s="20" t="s">
        <v>249</v>
      </c>
      <c r="Y79" s="20" t="s">
        <v>80</v>
      </c>
      <c r="AF79" s="20" t="n">
        <f aca="false">COUNTIF($AE$2:$AE$218,AE79)</f>
        <v>0</v>
      </c>
      <c r="AH79" s="21"/>
      <c r="AY79" s="22"/>
      <c r="AZ79" s="22"/>
      <c r="BA79" s="22"/>
      <c r="BB79" s="22"/>
      <c r="BC79" s="22"/>
      <c r="BD79" s="22"/>
      <c r="BE79" s="22"/>
      <c r="BF79" s="22"/>
      <c r="BG79" s="0"/>
      <c r="BH79" s="0"/>
    </row>
    <row r="80" s="20" customFormat="true" ht="24" hidden="false" customHeight="true" outlineLevel="0" collapsed="false">
      <c r="A80" s="20" t="s">
        <v>50</v>
      </c>
      <c r="B80" s="20" t="s">
        <v>50</v>
      </c>
      <c r="C80" s="21" t="s">
        <v>51</v>
      </c>
      <c r="D80" s="21"/>
      <c r="E80" s="20" t="s">
        <v>63</v>
      </c>
      <c r="F80" s="20" t="s">
        <v>63</v>
      </c>
      <c r="G80" s="21" t="s">
        <v>64</v>
      </c>
      <c r="H80" s="20" t="s">
        <v>52</v>
      </c>
      <c r="I80" s="23" t="s">
        <v>69</v>
      </c>
      <c r="J80" s="23" t="s">
        <v>52</v>
      </c>
      <c r="K80" s="23" t="s">
        <v>70</v>
      </c>
      <c r="L80" s="20" t="s">
        <v>71</v>
      </c>
      <c r="M80" s="20" t="s">
        <v>72</v>
      </c>
      <c r="N80" s="20" t="s">
        <v>235</v>
      </c>
      <c r="O80" s="20" t="s">
        <v>235</v>
      </c>
      <c r="P80" s="21" t="s">
        <v>236</v>
      </c>
      <c r="Q80" s="21" t="s">
        <v>253</v>
      </c>
      <c r="R80" s="21" t="s">
        <v>253</v>
      </c>
      <c r="S80" s="21" t="s">
        <v>253</v>
      </c>
      <c r="T80" s="20" t="n">
        <v>6</v>
      </c>
      <c r="U80" s="22" t="s">
        <v>77</v>
      </c>
      <c r="V80" s="20" t="s">
        <v>85</v>
      </c>
      <c r="X80" s="20" t="s">
        <v>249</v>
      </c>
      <c r="Y80" s="20" t="s">
        <v>80</v>
      </c>
      <c r="AF80" s="20" t="n">
        <f aca="false">COUNTIF($AE$2:$AE$218,AE80)</f>
        <v>0</v>
      </c>
      <c r="AH80" s="21"/>
      <c r="AY80" s="22"/>
      <c r="AZ80" s="22"/>
      <c r="BA80" s="22"/>
      <c r="BB80" s="22"/>
      <c r="BC80" s="22"/>
      <c r="BD80" s="22"/>
      <c r="BE80" s="22"/>
      <c r="BF80" s="22"/>
      <c r="BG80" s="0"/>
      <c r="BH80" s="0"/>
    </row>
    <row r="81" s="20" customFormat="true" ht="24" hidden="false" customHeight="true" outlineLevel="0" collapsed="false">
      <c r="A81" s="20" t="s">
        <v>50</v>
      </c>
      <c r="B81" s="20" t="s">
        <v>50</v>
      </c>
      <c r="C81" s="21" t="s">
        <v>51</v>
      </c>
      <c r="D81" s="21"/>
      <c r="E81" s="20" t="s">
        <v>63</v>
      </c>
      <c r="F81" s="20" t="s">
        <v>63</v>
      </c>
      <c r="G81" s="21" t="s">
        <v>64</v>
      </c>
      <c r="H81" s="20" t="s">
        <v>52</v>
      </c>
      <c r="I81" s="23" t="s">
        <v>69</v>
      </c>
      <c r="J81" s="23" t="s">
        <v>52</v>
      </c>
      <c r="K81" s="23" t="s">
        <v>70</v>
      </c>
      <c r="L81" s="20" t="s">
        <v>71</v>
      </c>
      <c r="M81" s="20" t="s">
        <v>72</v>
      </c>
      <c r="N81" s="20" t="s">
        <v>235</v>
      </c>
      <c r="O81" s="20" t="s">
        <v>235</v>
      </c>
      <c r="P81" s="21" t="s">
        <v>236</v>
      </c>
      <c r="Q81" s="20" t="s">
        <v>254</v>
      </c>
      <c r="R81" s="21" t="s">
        <v>254</v>
      </c>
      <c r="S81" s="21" t="s">
        <v>255</v>
      </c>
      <c r="T81" s="20" t="n">
        <v>7</v>
      </c>
      <c r="U81" s="22" t="s">
        <v>77</v>
      </c>
      <c r="V81" s="20" t="s">
        <v>85</v>
      </c>
      <c r="Y81" s="20" t="s">
        <v>80</v>
      </c>
      <c r="AF81" s="20" t="n">
        <f aca="false">COUNTIF($AE$2:$AE$218,AE81)</f>
        <v>0</v>
      </c>
      <c r="AH81" s="21"/>
      <c r="AY81" s="22"/>
      <c r="AZ81" s="22"/>
      <c r="BA81" s="22"/>
      <c r="BB81" s="22"/>
      <c r="BC81" s="22"/>
      <c r="BD81" s="22"/>
      <c r="BE81" s="22"/>
      <c r="BF81" s="22"/>
      <c r="BG81" s="0"/>
      <c r="BH81" s="0"/>
    </row>
    <row r="82" s="20" customFormat="true" ht="24" hidden="false" customHeight="true" outlineLevel="0" collapsed="false">
      <c r="A82" s="20" t="s">
        <v>50</v>
      </c>
      <c r="B82" s="20" t="s">
        <v>50</v>
      </c>
      <c r="C82" s="21" t="s">
        <v>51</v>
      </c>
      <c r="D82" s="21"/>
      <c r="E82" s="20" t="s">
        <v>63</v>
      </c>
      <c r="F82" s="20" t="s">
        <v>63</v>
      </c>
      <c r="G82" s="21" t="s">
        <v>64</v>
      </c>
      <c r="H82" s="20" t="s">
        <v>52</v>
      </c>
      <c r="I82" s="23" t="s">
        <v>69</v>
      </c>
      <c r="J82" s="23" t="s">
        <v>52</v>
      </c>
      <c r="K82" s="23" t="s">
        <v>70</v>
      </c>
      <c r="L82" s="20" t="s">
        <v>71</v>
      </c>
      <c r="M82" s="20" t="s">
        <v>72</v>
      </c>
      <c r="N82" s="20" t="s">
        <v>235</v>
      </c>
      <c r="O82" s="20" t="s">
        <v>235</v>
      </c>
      <c r="P82" s="21" t="s">
        <v>236</v>
      </c>
      <c r="Q82" s="20" t="s">
        <v>256</v>
      </c>
      <c r="R82" s="21" t="s">
        <v>256</v>
      </c>
      <c r="S82" s="21" t="s">
        <v>257</v>
      </c>
      <c r="T82" s="20" t="n">
        <v>8</v>
      </c>
      <c r="U82" s="22" t="s">
        <v>77</v>
      </c>
      <c r="V82" s="20" t="s">
        <v>85</v>
      </c>
      <c r="Y82" s="20" t="s">
        <v>80</v>
      </c>
      <c r="AF82" s="20" t="n">
        <f aca="false">COUNTIF($AE$2:$AE$218,AE82)</f>
        <v>0</v>
      </c>
      <c r="AH82" s="21"/>
      <c r="AY82" s="22"/>
      <c r="AZ82" s="22"/>
      <c r="BA82" s="22"/>
      <c r="BB82" s="22"/>
      <c r="BC82" s="22"/>
      <c r="BD82" s="22"/>
      <c r="BE82" s="22"/>
      <c r="BF82" s="22"/>
      <c r="BG82" s="0"/>
      <c r="BH82" s="0"/>
    </row>
    <row r="83" s="20" customFormat="true" ht="24" hidden="false" customHeight="true" outlineLevel="0" collapsed="false">
      <c r="A83" s="20" t="s">
        <v>50</v>
      </c>
      <c r="B83" s="20" t="s">
        <v>50</v>
      </c>
      <c r="C83" s="21" t="s">
        <v>51</v>
      </c>
      <c r="D83" s="21"/>
      <c r="E83" s="20" t="s">
        <v>63</v>
      </c>
      <c r="F83" s="20" t="s">
        <v>63</v>
      </c>
      <c r="G83" s="21" t="s">
        <v>64</v>
      </c>
      <c r="H83" s="20" t="s">
        <v>52</v>
      </c>
      <c r="I83" s="23" t="s">
        <v>69</v>
      </c>
      <c r="J83" s="23" t="s">
        <v>52</v>
      </c>
      <c r="K83" s="23" t="s">
        <v>70</v>
      </c>
      <c r="L83" s="20" t="s">
        <v>71</v>
      </c>
      <c r="M83" s="20" t="s">
        <v>72</v>
      </c>
      <c r="N83" s="20" t="s">
        <v>235</v>
      </c>
      <c r="O83" s="20" t="s">
        <v>235</v>
      </c>
      <c r="P83" s="21" t="s">
        <v>236</v>
      </c>
      <c r="Q83" s="20" t="s">
        <v>258</v>
      </c>
      <c r="R83" s="21" t="s">
        <v>258</v>
      </c>
      <c r="S83" s="21" t="s">
        <v>259</v>
      </c>
      <c r="T83" s="20" t="n">
        <v>9</v>
      </c>
      <c r="U83" s="22" t="s">
        <v>77</v>
      </c>
      <c r="V83" s="20" t="s">
        <v>85</v>
      </c>
      <c r="Y83" s="20" t="s">
        <v>80</v>
      </c>
      <c r="AF83" s="20" t="n">
        <f aca="false">COUNTIF($AE$2:$AE$218,AE83)</f>
        <v>0</v>
      </c>
      <c r="AH83" s="21"/>
      <c r="AY83" s="22"/>
      <c r="AZ83" s="22"/>
      <c r="BA83" s="22"/>
      <c r="BB83" s="22"/>
      <c r="BC83" s="22"/>
      <c r="BD83" s="22"/>
      <c r="BE83" s="22"/>
      <c r="BF83" s="22"/>
      <c r="BG83" s="0"/>
      <c r="BH83" s="0"/>
    </row>
    <row r="84" s="20" customFormat="true" ht="24" hidden="false" customHeight="true" outlineLevel="0" collapsed="false">
      <c r="A84" s="20" t="s">
        <v>50</v>
      </c>
      <c r="B84" s="20" t="s">
        <v>50</v>
      </c>
      <c r="C84" s="21" t="s">
        <v>51</v>
      </c>
      <c r="D84" s="21"/>
      <c r="E84" s="20" t="s">
        <v>63</v>
      </c>
      <c r="F84" s="20" t="s">
        <v>63</v>
      </c>
      <c r="G84" s="21" t="s">
        <v>64</v>
      </c>
      <c r="H84" s="20" t="s">
        <v>52</v>
      </c>
      <c r="I84" s="23" t="s">
        <v>69</v>
      </c>
      <c r="J84" s="23" t="s">
        <v>52</v>
      </c>
      <c r="K84" s="23" t="s">
        <v>70</v>
      </c>
      <c r="L84" s="20" t="s">
        <v>71</v>
      </c>
      <c r="M84" s="20" t="s">
        <v>72</v>
      </c>
      <c r="N84" s="20" t="s">
        <v>235</v>
      </c>
      <c r="O84" s="20" t="s">
        <v>235</v>
      </c>
      <c r="P84" s="21" t="s">
        <v>236</v>
      </c>
      <c r="Q84" s="20" t="s">
        <v>260</v>
      </c>
      <c r="R84" s="21" t="s">
        <v>260</v>
      </c>
      <c r="S84" s="21" t="s">
        <v>261</v>
      </c>
      <c r="T84" s="20" t="n">
        <v>10</v>
      </c>
      <c r="U84" s="22" t="s">
        <v>77</v>
      </c>
      <c r="V84" s="20" t="s">
        <v>85</v>
      </c>
      <c r="Y84" s="20" t="s">
        <v>80</v>
      </c>
      <c r="AF84" s="20" t="n">
        <f aca="false">COUNTIF($AE$2:$AE$218,AE84)</f>
        <v>0</v>
      </c>
      <c r="AH84" s="21"/>
      <c r="AY84" s="22"/>
      <c r="AZ84" s="22"/>
      <c r="BA84" s="22"/>
      <c r="BB84" s="22"/>
      <c r="BC84" s="22"/>
      <c r="BD84" s="22"/>
      <c r="BE84" s="22"/>
      <c r="BF84" s="22"/>
      <c r="BG84" s="0"/>
      <c r="BH84" s="0"/>
    </row>
    <row r="85" s="20" customFormat="true" ht="24" hidden="false" customHeight="true" outlineLevel="0" collapsed="false">
      <c r="A85" s="20" t="s">
        <v>50</v>
      </c>
      <c r="B85" s="20" t="s">
        <v>50</v>
      </c>
      <c r="C85" s="21" t="s">
        <v>51</v>
      </c>
      <c r="D85" s="21"/>
      <c r="E85" s="20" t="s">
        <v>63</v>
      </c>
      <c r="F85" s="20" t="s">
        <v>63</v>
      </c>
      <c r="G85" s="21" t="s">
        <v>64</v>
      </c>
      <c r="H85" s="20" t="s">
        <v>52</v>
      </c>
      <c r="I85" s="23" t="s">
        <v>69</v>
      </c>
      <c r="J85" s="23" t="s">
        <v>52</v>
      </c>
      <c r="K85" s="23" t="s">
        <v>70</v>
      </c>
      <c r="L85" s="20" t="s">
        <v>71</v>
      </c>
      <c r="M85" s="20" t="s">
        <v>72</v>
      </c>
      <c r="N85" s="20" t="s">
        <v>235</v>
      </c>
      <c r="O85" s="20" t="s">
        <v>235</v>
      </c>
      <c r="P85" s="21" t="s">
        <v>236</v>
      </c>
      <c r="Q85" s="20" t="s">
        <v>262</v>
      </c>
      <c r="R85" s="21" t="s">
        <v>262</v>
      </c>
      <c r="S85" s="21" t="s">
        <v>263</v>
      </c>
      <c r="T85" s="20" t="n">
        <v>11</v>
      </c>
      <c r="U85" s="22" t="s">
        <v>77</v>
      </c>
      <c r="V85" s="20" t="s">
        <v>85</v>
      </c>
      <c r="Y85" s="20" t="s">
        <v>80</v>
      </c>
      <c r="AF85" s="20" t="n">
        <f aca="false">COUNTIF($AE$2:$AE$218,AE85)</f>
        <v>0</v>
      </c>
      <c r="AH85" s="21"/>
      <c r="AY85" s="22"/>
      <c r="AZ85" s="22"/>
      <c r="BA85" s="22"/>
      <c r="BB85" s="22"/>
      <c r="BC85" s="22"/>
      <c r="BD85" s="22"/>
      <c r="BE85" s="22"/>
      <c r="BF85" s="22"/>
      <c r="BG85" s="0"/>
      <c r="BH85" s="0"/>
    </row>
    <row r="86" s="23" customFormat="true" ht="24" hidden="false" customHeight="true" outlineLevel="0" collapsed="false">
      <c r="A86" s="23" t="s">
        <v>50</v>
      </c>
      <c r="B86" s="23" t="s">
        <v>50</v>
      </c>
      <c r="C86" s="24" t="s">
        <v>51</v>
      </c>
      <c r="D86" s="24"/>
      <c r="E86" s="23" t="s">
        <v>63</v>
      </c>
      <c r="F86" s="23" t="s">
        <v>63</v>
      </c>
      <c r="G86" s="24" t="s">
        <v>64</v>
      </c>
      <c r="H86" s="23" t="s">
        <v>52</v>
      </c>
      <c r="I86" s="23" t="s">
        <v>69</v>
      </c>
      <c r="J86" s="23" t="s">
        <v>52</v>
      </c>
      <c r="K86" s="23" t="s">
        <v>70</v>
      </c>
      <c r="L86" s="23" t="s">
        <v>71</v>
      </c>
      <c r="M86" s="23" t="s">
        <v>72</v>
      </c>
      <c r="N86" s="23" t="s">
        <v>264</v>
      </c>
      <c r="O86" s="23" t="s">
        <v>264</v>
      </c>
      <c r="P86" s="24" t="s">
        <v>265</v>
      </c>
      <c r="Q86" s="23" t="s">
        <v>266</v>
      </c>
      <c r="R86" s="23" t="s">
        <v>266</v>
      </c>
      <c r="S86" s="24" t="s">
        <v>76</v>
      </c>
      <c r="T86" s="23" t="n">
        <v>0</v>
      </c>
      <c r="U86" s="22" t="s">
        <v>77</v>
      </c>
      <c r="V86" s="23" t="s">
        <v>78</v>
      </c>
      <c r="Y86" s="23" t="s">
        <v>79</v>
      </c>
      <c r="Z86" s="23" t="s">
        <v>80</v>
      </c>
      <c r="AA86" s="23" t="s">
        <v>81</v>
      </c>
      <c r="AB86" s="23" t="s">
        <v>82</v>
      </c>
      <c r="AD86" s="23" t="str">
        <f aca="false">Q86</f>
        <v>ClientIdentifier</v>
      </c>
      <c r="AF86" s="23" t="n">
        <f aca="false">COUNTIF($AE$2:$AE$218,AE86)</f>
        <v>0</v>
      </c>
      <c r="AY86" s="22"/>
      <c r="AZ86" s="22"/>
      <c r="BA86" s="22"/>
      <c r="BB86" s="22"/>
      <c r="BC86" s="22"/>
      <c r="BD86" s="22"/>
      <c r="BE86" s="22"/>
      <c r="BF86" s="22"/>
      <c r="BG86" s="0"/>
      <c r="BH86" s="0"/>
    </row>
    <row r="87" s="20" customFormat="true" ht="24" hidden="false" customHeight="true" outlineLevel="0" collapsed="false">
      <c r="A87" s="20" t="s">
        <v>50</v>
      </c>
      <c r="B87" s="20" t="s">
        <v>50</v>
      </c>
      <c r="C87" s="21" t="s">
        <v>51</v>
      </c>
      <c r="D87" s="21"/>
      <c r="E87" s="20" t="s">
        <v>61</v>
      </c>
      <c r="F87" s="20" t="s">
        <v>61</v>
      </c>
      <c r="G87" s="21" t="s">
        <v>62</v>
      </c>
      <c r="H87" s="20" t="s">
        <v>52</v>
      </c>
      <c r="I87" s="23" t="s">
        <v>69</v>
      </c>
      <c r="J87" s="23" t="s">
        <v>52</v>
      </c>
      <c r="K87" s="23" t="s">
        <v>70</v>
      </c>
      <c r="L87" s="20" t="s">
        <v>71</v>
      </c>
      <c r="M87" s="20" t="s">
        <v>72</v>
      </c>
      <c r="N87" s="20" t="s">
        <v>267</v>
      </c>
      <c r="O87" s="20" t="s">
        <v>267</v>
      </c>
      <c r="P87" s="21" t="s">
        <v>268</v>
      </c>
      <c r="Q87" s="20" t="s">
        <v>269</v>
      </c>
      <c r="R87" s="20" t="s">
        <v>269</v>
      </c>
      <c r="S87" s="21" t="s">
        <v>76</v>
      </c>
      <c r="T87" s="20" t="n">
        <v>0</v>
      </c>
      <c r="U87" s="22" t="s">
        <v>77</v>
      </c>
      <c r="V87" s="20" t="s">
        <v>78</v>
      </c>
      <c r="Y87" s="20" t="s">
        <v>79</v>
      </c>
      <c r="Z87" s="20" t="s">
        <v>80</v>
      </c>
      <c r="AA87" s="20" t="s">
        <v>81</v>
      </c>
      <c r="AB87" s="20" t="s">
        <v>82</v>
      </c>
      <c r="AD87" s="20" t="str">
        <f aca="false">Q87</f>
        <v>CashAccountRoleIdentifier</v>
      </c>
      <c r="AF87" s="20" t="n">
        <f aca="false">COUNTIF($AE$2:$AE$218,AE87)</f>
        <v>0</v>
      </c>
      <c r="AY87" s="22"/>
      <c r="AZ87" s="22"/>
      <c r="BA87" s="22"/>
      <c r="BB87" s="22"/>
      <c r="BC87" s="22"/>
      <c r="BD87" s="22"/>
      <c r="BE87" s="22"/>
      <c r="BF87" s="22"/>
      <c r="BG87" s="0"/>
      <c r="BH87" s="0"/>
    </row>
    <row r="88" s="20" customFormat="true" ht="24" hidden="false" customHeight="true" outlineLevel="0" collapsed="false">
      <c r="A88" s="20" t="s">
        <v>50</v>
      </c>
      <c r="B88" s="20" t="s">
        <v>50</v>
      </c>
      <c r="C88" s="21" t="s">
        <v>51</v>
      </c>
      <c r="D88" s="21"/>
      <c r="E88" s="20" t="s">
        <v>61</v>
      </c>
      <c r="F88" s="20" t="s">
        <v>61</v>
      </c>
      <c r="G88" s="21" t="s">
        <v>62</v>
      </c>
      <c r="H88" s="20" t="s">
        <v>52</v>
      </c>
      <c r="I88" s="23" t="s">
        <v>69</v>
      </c>
      <c r="J88" s="23" t="s">
        <v>52</v>
      </c>
      <c r="K88" s="23" t="s">
        <v>70</v>
      </c>
      <c r="L88" s="20" t="s">
        <v>71</v>
      </c>
      <c r="M88" s="20" t="s">
        <v>72</v>
      </c>
      <c r="N88" s="20" t="s">
        <v>267</v>
      </c>
      <c r="O88" s="20" t="s">
        <v>267</v>
      </c>
      <c r="P88" s="21" t="s">
        <v>268</v>
      </c>
      <c r="Q88" s="20" t="s">
        <v>270</v>
      </c>
      <c r="R88" s="20" t="s">
        <v>270</v>
      </c>
      <c r="S88" s="21" t="s">
        <v>271</v>
      </c>
      <c r="T88" s="20" t="n">
        <v>1</v>
      </c>
      <c r="U88" s="22" t="s">
        <v>77</v>
      </c>
      <c r="V88" s="20" t="s">
        <v>78</v>
      </c>
      <c r="Y88" s="20" t="s">
        <v>79</v>
      </c>
      <c r="AA88" s="23" t="s">
        <v>272</v>
      </c>
      <c r="AB88" s="23" t="s">
        <v>272</v>
      </c>
      <c r="AD88" s="20" t="str">
        <f aca="false">Q88</f>
        <v>CashAccountIdentifier</v>
      </c>
      <c r="AE88" s="20" t="s">
        <v>273</v>
      </c>
      <c r="AF88" s="20" t="n">
        <f aca="false">COUNTIF($AE$2:$AE$218,AE88)</f>
        <v>1</v>
      </c>
      <c r="AG88" s="20" t="s">
        <v>274</v>
      </c>
      <c r="AH88" s="21"/>
      <c r="AI88" s="20" t="s">
        <v>72</v>
      </c>
      <c r="AJ88" s="25" t="s">
        <v>267</v>
      </c>
      <c r="AK88" s="25" t="s">
        <v>135</v>
      </c>
      <c r="AL88" s="25" t="s">
        <v>135</v>
      </c>
      <c r="AM88" s="25" t="str">
        <f aca="false">AA88</f>
        <v>FK-CashAccount</v>
      </c>
      <c r="AN88" s="20" t="s">
        <v>270</v>
      </c>
      <c r="AP88" s="20" t="s">
        <v>172</v>
      </c>
      <c r="AQ88" s="20" t="s">
        <v>137</v>
      </c>
      <c r="AR88" s="25" t="s">
        <v>275</v>
      </c>
      <c r="AS88" s="25" t="s">
        <v>138</v>
      </c>
      <c r="AT88" s="25" t="s">
        <v>138</v>
      </c>
      <c r="AU88" s="25" t="s">
        <v>81</v>
      </c>
      <c r="AV88" s="20" t="s">
        <v>270</v>
      </c>
      <c r="AX88" s="20" t="s">
        <v>136</v>
      </c>
      <c r="AY88" s="22"/>
      <c r="AZ88" s="22"/>
      <c r="BA88" s="22"/>
      <c r="BB88" s="22"/>
      <c r="BC88" s="22"/>
      <c r="BD88" s="22"/>
      <c r="BE88" s="22"/>
      <c r="BF88" s="22"/>
      <c r="BG88" s="0"/>
      <c r="BH88" s="0"/>
    </row>
    <row r="89" s="20" customFormat="true" ht="24" hidden="false" customHeight="true" outlineLevel="0" collapsed="false">
      <c r="A89" s="20" t="s">
        <v>50</v>
      </c>
      <c r="B89" s="20" t="s">
        <v>50</v>
      </c>
      <c r="C89" s="21" t="s">
        <v>51</v>
      </c>
      <c r="D89" s="21"/>
      <c r="E89" s="20" t="s">
        <v>61</v>
      </c>
      <c r="F89" s="20" t="s">
        <v>61</v>
      </c>
      <c r="G89" s="21" t="s">
        <v>62</v>
      </c>
      <c r="H89" s="20" t="s">
        <v>52</v>
      </c>
      <c r="I89" s="23" t="s">
        <v>69</v>
      </c>
      <c r="J89" s="23" t="s">
        <v>52</v>
      </c>
      <c r="K89" s="23" t="s">
        <v>70</v>
      </c>
      <c r="L89" s="20" t="s">
        <v>71</v>
      </c>
      <c r="M89" s="20" t="s">
        <v>72</v>
      </c>
      <c r="N89" s="20" t="s">
        <v>267</v>
      </c>
      <c r="O89" s="20" t="s">
        <v>267</v>
      </c>
      <c r="P89" s="21" t="s">
        <v>268</v>
      </c>
      <c r="Q89" s="20" t="s">
        <v>266</v>
      </c>
      <c r="R89" s="20" t="s">
        <v>266</v>
      </c>
      <c r="S89" s="21" t="s">
        <v>276</v>
      </c>
      <c r="T89" s="20" t="n">
        <v>2</v>
      </c>
      <c r="U89" s="22" t="s">
        <v>77</v>
      </c>
      <c r="V89" s="20" t="s">
        <v>78</v>
      </c>
      <c r="Y89" s="20" t="s">
        <v>79</v>
      </c>
      <c r="AA89" s="23" t="s">
        <v>277</v>
      </c>
      <c r="AB89" s="23" t="s">
        <v>277</v>
      </c>
      <c r="AD89" s="20" t="str">
        <f aca="false">Q89</f>
        <v>ClientIdentifier</v>
      </c>
      <c r="AE89" s="20" t="s">
        <v>278</v>
      </c>
      <c r="AF89" s="20" t="n">
        <f aca="false">COUNTIF($AE$2:$AE$218,AE89)</f>
        <v>1</v>
      </c>
      <c r="AG89" s="20" t="s">
        <v>264</v>
      </c>
      <c r="AH89" s="21"/>
      <c r="AI89" s="20" t="s">
        <v>72</v>
      </c>
      <c r="AJ89" s="25" t="s">
        <v>267</v>
      </c>
      <c r="AK89" s="25" t="s">
        <v>135</v>
      </c>
      <c r="AL89" s="25" t="s">
        <v>135</v>
      </c>
      <c r="AM89" s="25" t="str">
        <f aca="false">AA89</f>
        <v>FK-Client</v>
      </c>
      <c r="AN89" s="20" t="s">
        <v>266</v>
      </c>
      <c r="AP89" s="20" t="s">
        <v>172</v>
      </c>
      <c r="AQ89" s="20" t="s">
        <v>137</v>
      </c>
      <c r="AR89" s="25" t="s">
        <v>264</v>
      </c>
      <c r="AS89" s="25" t="s">
        <v>138</v>
      </c>
      <c r="AT89" s="25" t="s">
        <v>138</v>
      </c>
      <c r="AU89" s="25" t="s">
        <v>81</v>
      </c>
      <c r="AV89" s="20" t="s">
        <v>266</v>
      </c>
      <c r="AX89" s="20" t="s">
        <v>136</v>
      </c>
      <c r="AY89" s="22"/>
      <c r="AZ89" s="22"/>
      <c r="BA89" s="22"/>
      <c r="BB89" s="22"/>
      <c r="BC89" s="22"/>
      <c r="BD89" s="22"/>
      <c r="BE89" s="22"/>
      <c r="BF89" s="22"/>
      <c r="BG89" s="0"/>
      <c r="BH89" s="0"/>
    </row>
    <row r="90" s="20" customFormat="true" ht="24" hidden="false" customHeight="true" outlineLevel="0" collapsed="false">
      <c r="A90" s="20" t="s">
        <v>50</v>
      </c>
      <c r="B90" s="20" t="s">
        <v>50</v>
      </c>
      <c r="C90" s="21" t="s">
        <v>51</v>
      </c>
      <c r="D90" s="21"/>
      <c r="E90" s="20" t="s">
        <v>61</v>
      </c>
      <c r="F90" s="20" t="s">
        <v>61</v>
      </c>
      <c r="G90" s="21" t="s">
        <v>62</v>
      </c>
      <c r="H90" s="20" t="s">
        <v>52</v>
      </c>
      <c r="I90" s="23" t="s">
        <v>69</v>
      </c>
      <c r="J90" s="23" t="s">
        <v>52</v>
      </c>
      <c r="K90" s="23" t="s">
        <v>70</v>
      </c>
      <c r="L90" s="20" t="s">
        <v>71</v>
      </c>
      <c r="M90" s="20" t="s">
        <v>72</v>
      </c>
      <c r="N90" s="20" t="s">
        <v>267</v>
      </c>
      <c r="O90" s="20" t="s">
        <v>267</v>
      </c>
      <c r="P90" s="21" t="s">
        <v>268</v>
      </c>
      <c r="Q90" s="20" t="s">
        <v>279</v>
      </c>
      <c r="R90" s="20" t="s">
        <v>279</v>
      </c>
      <c r="S90" s="21" t="s">
        <v>280</v>
      </c>
      <c r="T90" s="20" t="n">
        <v>3</v>
      </c>
      <c r="U90" s="22" t="s">
        <v>77</v>
      </c>
      <c r="Y90" s="20" t="s">
        <v>79</v>
      </c>
      <c r="AF90" s="20" t="n">
        <f aca="false">COUNTIF($AE$2:$AE$218,AE90)</f>
        <v>0</v>
      </c>
      <c r="AH90" s="21"/>
      <c r="AY90" s="22"/>
      <c r="AZ90" s="22"/>
      <c r="BA90" s="22"/>
      <c r="BB90" s="22"/>
      <c r="BC90" s="22"/>
      <c r="BD90" s="22"/>
      <c r="BE90" s="22"/>
      <c r="BF90" s="22"/>
      <c r="BG90" s="0"/>
      <c r="BH90" s="0"/>
    </row>
    <row r="91" s="23" customFormat="true" ht="24" hidden="false" customHeight="true" outlineLevel="0" collapsed="false">
      <c r="A91" s="23" t="s">
        <v>50</v>
      </c>
      <c r="B91" s="23" t="s">
        <v>50</v>
      </c>
      <c r="C91" s="24" t="s">
        <v>51</v>
      </c>
      <c r="D91" s="24"/>
      <c r="E91" s="23" t="s">
        <v>61</v>
      </c>
      <c r="F91" s="23" t="s">
        <v>61</v>
      </c>
      <c r="G91" s="24" t="s">
        <v>62</v>
      </c>
      <c r="H91" s="23" t="s">
        <v>52</v>
      </c>
      <c r="I91" s="23" t="s">
        <v>69</v>
      </c>
      <c r="J91" s="23" t="s">
        <v>52</v>
      </c>
      <c r="K91" s="23" t="s">
        <v>70</v>
      </c>
      <c r="L91" s="23" t="s">
        <v>71</v>
      </c>
      <c r="M91" s="23" t="s">
        <v>72</v>
      </c>
      <c r="N91" s="23" t="s">
        <v>275</v>
      </c>
      <c r="O91" s="23" t="s">
        <v>275</v>
      </c>
      <c r="P91" s="24" t="s">
        <v>281</v>
      </c>
      <c r="Q91" s="23" t="s">
        <v>270</v>
      </c>
      <c r="R91" s="23" t="s">
        <v>270</v>
      </c>
      <c r="S91" s="24" t="s">
        <v>76</v>
      </c>
      <c r="T91" s="23" t="n">
        <v>0</v>
      </c>
      <c r="U91" s="22" t="s">
        <v>77</v>
      </c>
      <c r="V91" s="23" t="s">
        <v>78</v>
      </c>
      <c r="Y91" s="23" t="s">
        <v>79</v>
      </c>
      <c r="Z91" s="23" t="s">
        <v>80</v>
      </c>
      <c r="AA91" s="23" t="s">
        <v>81</v>
      </c>
      <c r="AB91" s="23" t="s">
        <v>82</v>
      </c>
      <c r="AD91" s="23" t="str">
        <f aca="false">Q91</f>
        <v>CashAccountIdentifier</v>
      </c>
      <c r="AF91" s="23" t="n">
        <f aca="false">COUNTIF($AE$2:$AE$218,AE91)</f>
        <v>0</v>
      </c>
      <c r="AH91" s="24"/>
      <c r="AY91" s="22"/>
      <c r="AZ91" s="22"/>
      <c r="BA91" s="22"/>
      <c r="BB91" s="22"/>
      <c r="BC91" s="22"/>
      <c r="BD91" s="22"/>
      <c r="BE91" s="22"/>
      <c r="BF91" s="22"/>
      <c r="BG91" s="0"/>
      <c r="BH91" s="0"/>
    </row>
    <row r="92" s="23" customFormat="true" ht="24" hidden="false" customHeight="true" outlineLevel="0" collapsed="false">
      <c r="A92" s="23" t="s">
        <v>50</v>
      </c>
      <c r="B92" s="23" t="s">
        <v>50</v>
      </c>
      <c r="C92" s="24" t="s">
        <v>51</v>
      </c>
      <c r="D92" s="24"/>
      <c r="E92" s="23" t="s">
        <v>61</v>
      </c>
      <c r="F92" s="23" t="s">
        <v>61</v>
      </c>
      <c r="G92" s="24" t="s">
        <v>62</v>
      </c>
      <c r="H92" s="23" t="s">
        <v>52</v>
      </c>
      <c r="I92" s="23" t="s">
        <v>69</v>
      </c>
      <c r="J92" s="23" t="s">
        <v>52</v>
      </c>
      <c r="K92" s="23" t="s">
        <v>70</v>
      </c>
      <c r="L92" s="23" t="s">
        <v>71</v>
      </c>
      <c r="M92" s="23" t="s">
        <v>72</v>
      </c>
      <c r="N92" s="23" t="s">
        <v>275</v>
      </c>
      <c r="O92" s="23" t="s">
        <v>275</v>
      </c>
      <c r="P92" s="24" t="s">
        <v>281</v>
      </c>
      <c r="Q92" s="23" t="s">
        <v>282</v>
      </c>
      <c r="R92" s="23" t="s">
        <v>282</v>
      </c>
      <c r="S92" s="24" t="s">
        <v>283</v>
      </c>
      <c r="T92" s="23" t="n">
        <v>1</v>
      </c>
      <c r="U92" s="22" t="s">
        <v>77</v>
      </c>
      <c r="V92" s="23" t="s">
        <v>85</v>
      </c>
      <c r="Y92" s="23" t="s">
        <v>79</v>
      </c>
      <c r="AF92" s="23" t="n">
        <f aca="false">COUNTIF($AE$2:$AE$218,AE92)</f>
        <v>0</v>
      </c>
      <c r="AH92" s="24"/>
      <c r="AY92" s="22"/>
      <c r="AZ92" s="22"/>
      <c r="BA92" s="22"/>
      <c r="BB92" s="22"/>
      <c r="BC92" s="22"/>
      <c r="BD92" s="22"/>
      <c r="BE92" s="22"/>
      <c r="BF92" s="22"/>
      <c r="BG92" s="0"/>
      <c r="BH92" s="0"/>
    </row>
    <row r="93" s="23" customFormat="true" ht="24" hidden="false" customHeight="true" outlineLevel="0" collapsed="false">
      <c r="A93" s="23" t="s">
        <v>50</v>
      </c>
      <c r="B93" s="23" t="s">
        <v>50</v>
      </c>
      <c r="C93" s="24" t="s">
        <v>51</v>
      </c>
      <c r="D93" s="24"/>
      <c r="E93" s="23" t="s">
        <v>61</v>
      </c>
      <c r="F93" s="23" t="s">
        <v>61</v>
      </c>
      <c r="G93" s="24" t="s">
        <v>62</v>
      </c>
      <c r="H93" s="23" t="s">
        <v>52</v>
      </c>
      <c r="I93" s="23" t="s">
        <v>69</v>
      </c>
      <c r="J93" s="23" t="s">
        <v>52</v>
      </c>
      <c r="K93" s="23" t="s">
        <v>70</v>
      </c>
      <c r="L93" s="23" t="s">
        <v>71</v>
      </c>
      <c r="M93" s="23" t="s">
        <v>72</v>
      </c>
      <c r="N93" s="23" t="s">
        <v>275</v>
      </c>
      <c r="O93" s="23" t="s">
        <v>275</v>
      </c>
      <c r="P93" s="24" t="s">
        <v>281</v>
      </c>
      <c r="Q93" s="23" t="s">
        <v>284</v>
      </c>
      <c r="R93" s="23" t="s">
        <v>284</v>
      </c>
      <c r="S93" s="24" t="s">
        <v>285</v>
      </c>
      <c r="T93" s="23" t="n">
        <v>2</v>
      </c>
      <c r="U93" s="22" t="s">
        <v>77</v>
      </c>
      <c r="V93" s="23" t="s">
        <v>85</v>
      </c>
      <c r="Y93" s="23" t="s">
        <v>79</v>
      </c>
      <c r="AF93" s="23" t="n">
        <f aca="false">COUNTIF($AE$2:$AE$218,AE93)</f>
        <v>0</v>
      </c>
      <c r="AH93" s="24"/>
      <c r="AY93" s="22"/>
      <c r="AZ93" s="22"/>
      <c r="BA93" s="22"/>
      <c r="BB93" s="22"/>
      <c r="BC93" s="22"/>
      <c r="BD93" s="22"/>
      <c r="BE93" s="22"/>
      <c r="BF93" s="22"/>
      <c r="BG93" s="0"/>
      <c r="BH93" s="0"/>
    </row>
    <row r="94" s="20" customFormat="true" ht="24" hidden="false" customHeight="true" outlineLevel="0" collapsed="false">
      <c r="A94" s="20" t="s">
        <v>50</v>
      </c>
      <c r="B94" s="20" t="s">
        <v>50</v>
      </c>
      <c r="C94" s="21" t="s">
        <v>51</v>
      </c>
      <c r="D94" s="21"/>
      <c r="E94" s="20" t="s">
        <v>61</v>
      </c>
      <c r="F94" s="20" t="s">
        <v>61</v>
      </c>
      <c r="G94" s="21" t="s">
        <v>62</v>
      </c>
      <c r="H94" s="20" t="s">
        <v>52</v>
      </c>
      <c r="I94" s="23" t="s">
        <v>69</v>
      </c>
      <c r="J94" s="23" t="s">
        <v>52</v>
      </c>
      <c r="K94" s="23" t="s">
        <v>70</v>
      </c>
      <c r="L94" s="20" t="s">
        <v>71</v>
      </c>
      <c r="M94" s="20" t="s">
        <v>72</v>
      </c>
      <c r="N94" s="20" t="s">
        <v>286</v>
      </c>
      <c r="O94" s="20" t="s">
        <v>286</v>
      </c>
      <c r="P94" s="21" t="s">
        <v>287</v>
      </c>
      <c r="Q94" s="20" t="s">
        <v>288</v>
      </c>
      <c r="R94" s="20" t="s">
        <v>288</v>
      </c>
      <c r="S94" s="21" t="s">
        <v>76</v>
      </c>
      <c r="T94" s="20" t="n">
        <v>0</v>
      </c>
      <c r="U94" s="22" t="s">
        <v>77</v>
      </c>
      <c r="V94" s="20" t="s">
        <v>78</v>
      </c>
      <c r="Y94" s="20" t="s">
        <v>79</v>
      </c>
      <c r="Z94" s="20" t="s">
        <v>80</v>
      </c>
      <c r="AA94" s="20" t="s">
        <v>81</v>
      </c>
      <c r="AB94" s="20" t="s">
        <v>82</v>
      </c>
      <c r="AD94" s="20" t="str">
        <f aca="false">Q94</f>
        <v>BookingIdentifier</v>
      </c>
      <c r="AF94" s="20" t="n">
        <f aca="false">COUNTIF($AE$2:$AE$218,AE94)</f>
        <v>0</v>
      </c>
      <c r="AH94" s="21"/>
      <c r="AY94" s="22"/>
      <c r="AZ94" s="22"/>
      <c r="BA94" s="22"/>
      <c r="BB94" s="22"/>
      <c r="BC94" s="22"/>
      <c r="BD94" s="22"/>
      <c r="BE94" s="22"/>
      <c r="BF94" s="22"/>
      <c r="BG94" s="0"/>
      <c r="BH94" s="0"/>
    </row>
    <row r="95" s="20" customFormat="true" ht="24" hidden="false" customHeight="true" outlineLevel="0" collapsed="false">
      <c r="A95" s="20" t="s">
        <v>50</v>
      </c>
      <c r="B95" s="20" t="s">
        <v>50</v>
      </c>
      <c r="C95" s="21" t="s">
        <v>51</v>
      </c>
      <c r="D95" s="21"/>
      <c r="E95" s="20" t="s">
        <v>61</v>
      </c>
      <c r="F95" s="20" t="s">
        <v>61</v>
      </c>
      <c r="G95" s="21" t="s">
        <v>62</v>
      </c>
      <c r="H95" s="20" t="s">
        <v>52</v>
      </c>
      <c r="I95" s="23" t="s">
        <v>69</v>
      </c>
      <c r="J95" s="23" t="s">
        <v>52</v>
      </c>
      <c r="K95" s="23" t="s">
        <v>70</v>
      </c>
      <c r="L95" s="20" t="s">
        <v>71</v>
      </c>
      <c r="M95" s="20" t="s">
        <v>72</v>
      </c>
      <c r="N95" s="20" t="s">
        <v>286</v>
      </c>
      <c r="O95" s="20" t="s">
        <v>286</v>
      </c>
      <c r="P95" s="21" t="s">
        <v>287</v>
      </c>
      <c r="Q95" s="20" t="s">
        <v>289</v>
      </c>
      <c r="R95" s="20" t="s">
        <v>289</v>
      </c>
      <c r="S95" s="21" t="s">
        <v>290</v>
      </c>
      <c r="T95" s="20" t="n">
        <v>1</v>
      </c>
      <c r="U95" s="22" t="s">
        <v>77</v>
      </c>
      <c r="V95" s="20" t="s">
        <v>149</v>
      </c>
      <c r="Y95" s="20" t="s">
        <v>79</v>
      </c>
      <c r="AF95" s="20" t="n">
        <f aca="false">COUNTIF($AE$2:$AE$218,AE95)</f>
        <v>0</v>
      </c>
      <c r="AH95" s="21"/>
      <c r="AY95" s="22"/>
      <c r="AZ95" s="22"/>
      <c r="BA95" s="22"/>
      <c r="BB95" s="22"/>
      <c r="BC95" s="22"/>
      <c r="BD95" s="22"/>
      <c r="BE95" s="22"/>
      <c r="BF95" s="22"/>
      <c r="BG95" s="0"/>
      <c r="BH95" s="0"/>
    </row>
    <row r="96" s="20" customFormat="true" ht="24" hidden="false" customHeight="true" outlineLevel="0" collapsed="false">
      <c r="A96" s="20" t="s">
        <v>50</v>
      </c>
      <c r="B96" s="20" t="s">
        <v>50</v>
      </c>
      <c r="C96" s="21" t="s">
        <v>51</v>
      </c>
      <c r="D96" s="21"/>
      <c r="E96" s="20" t="s">
        <v>61</v>
      </c>
      <c r="F96" s="20" t="s">
        <v>61</v>
      </c>
      <c r="G96" s="21" t="s">
        <v>62</v>
      </c>
      <c r="H96" s="20" t="s">
        <v>52</v>
      </c>
      <c r="I96" s="23" t="s">
        <v>69</v>
      </c>
      <c r="J96" s="23" t="s">
        <v>52</v>
      </c>
      <c r="K96" s="23" t="s">
        <v>70</v>
      </c>
      <c r="L96" s="20" t="s">
        <v>71</v>
      </c>
      <c r="M96" s="20" t="s">
        <v>72</v>
      </c>
      <c r="N96" s="20" t="s">
        <v>286</v>
      </c>
      <c r="O96" s="20" t="s">
        <v>286</v>
      </c>
      <c r="P96" s="21" t="s">
        <v>287</v>
      </c>
      <c r="Q96" s="20" t="s">
        <v>291</v>
      </c>
      <c r="R96" s="20" t="s">
        <v>291</v>
      </c>
      <c r="S96" s="21" t="s">
        <v>292</v>
      </c>
      <c r="T96" s="20" t="n">
        <v>2</v>
      </c>
      <c r="U96" s="22" t="s">
        <v>77</v>
      </c>
      <c r="V96" s="20" t="s">
        <v>78</v>
      </c>
      <c r="Y96" s="20" t="s">
        <v>80</v>
      </c>
      <c r="AA96" s="23" t="s">
        <v>293</v>
      </c>
      <c r="AB96" s="23" t="s">
        <v>293</v>
      </c>
      <c r="AD96" s="20" t="str">
        <f aca="false">Q96</f>
        <v>UniqueInternalPaymentIdentifier</v>
      </c>
      <c r="AE96" s="20" t="s">
        <v>294</v>
      </c>
      <c r="AF96" s="20" t="n">
        <f aca="false">COUNTIF($AE$2:$AE$218,AE96)</f>
        <v>1</v>
      </c>
      <c r="AG96" s="20" t="s">
        <v>295</v>
      </c>
      <c r="AH96" s="21"/>
      <c r="AI96" s="20" t="s">
        <v>72</v>
      </c>
      <c r="AJ96" s="25" t="s">
        <v>286</v>
      </c>
      <c r="AK96" s="25" t="s">
        <v>135</v>
      </c>
      <c r="AL96" s="25" t="s">
        <v>135</v>
      </c>
      <c r="AM96" s="25" t="str">
        <f aca="false">AA96</f>
        <v>FK-Payment</v>
      </c>
      <c r="AN96" s="20" t="s">
        <v>291</v>
      </c>
      <c r="AP96" s="20" t="s">
        <v>172</v>
      </c>
      <c r="AQ96" s="20" t="s">
        <v>137</v>
      </c>
      <c r="AR96" s="25" t="s">
        <v>55</v>
      </c>
      <c r="AS96" s="25" t="s">
        <v>138</v>
      </c>
      <c r="AT96" s="25" t="s">
        <v>138</v>
      </c>
      <c r="AU96" s="25" t="s">
        <v>81</v>
      </c>
      <c r="AV96" s="20" t="s">
        <v>291</v>
      </c>
      <c r="AX96" s="20" t="s">
        <v>136</v>
      </c>
      <c r="AY96" s="22"/>
      <c r="AZ96" s="22"/>
      <c r="BA96" s="22"/>
      <c r="BB96" s="22"/>
      <c r="BC96" s="22"/>
      <c r="BD96" s="22"/>
      <c r="BE96" s="22"/>
      <c r="BF96" s="22"/>
      <c r="BG96" s="0"/>
      <c r="BH96" s="0"/>
    </row>
    <row r="97" s="20" customFormat="true" ht="24" hidden="false" customHeight="true" outlineLevel="0" collapsed="false">
      <c r="A97" s="20" t="s">
        <v>50</v>
      </c>
      <c r="B97" s="20" t="s">
        <v>50</v>
      </c>
      <c r="C97" s="21" t="s">
        <v>51</v>
      </c>
      <c r="D97" s="21"/>
      <c r="E97" s="20" t="s">
        <v>61</v>
      </c>
      <c r="F97" s="20" t="s">
        <v>61</v>
      </c>
      <c r="G97" s="21" t="s">
        <v>62</v>
      </c>
      <c r="H97" s="20" t="s">
        <v>52</v>
      </c>
      <c r="I97" s="23" t="s">
        <v>69</v>
      </c>
      <c r="J97" s="23" t="s">
        <v>52</v>
      </c>
      <c r="K97" s="23" t="s">
        <v>70</v>
      </c>
      <c r="L97" s="20" t="s">
        <v>71</v>
      </c>
      <c r="M97" s="20" t="s">
        <v>72</v>
      </c>
      <c r="N97" s="20" t="s">
        <v>286</v>
      </c>
      <c r="O97" s="20" t="s">
        <v>286</v>
      </c>
      <c r="P97" s="21" t="s">
        <v>287</v>
      </c>
      <c r="Q97" s="20" t="s">
        <v>189</v>
      </c>
      <c r="R97" s="20" t="s">
        <v>189</v>
      </c>
      <c r="S97" s="21" t="s">
        <v>296</v>
      </c>
      <c r="T97" s="20" t="n">
        <v>3</v>
      </c>
      <c r="U97" s="22" t="s">
        <v>77</v>
      </c>
      <c r="V97" s="20" t="s">
        <v>78</v>
      </c>
      <c r="Y97" s="20" t="s">
        <v>80</v>
      </c>
      <c r="AA97" s="23" t="s">
        <v>194</v>
      </c>
      <c r="AB97" s="23" t="s">
        <v>194</v>
      </c>
      <c r="AD97" s="20" t="str">
        <f aca="false">Q97</f>
        <v>PaymentInstructionGroupIdentifier</v>
      </c>
      <c r="AE97" s="20" t="s">
        <v>297</v>
      </c>
      <c r="AF97" s="20" t="n">
        <f aca="false">COUNTIF($AE$2:$AE$218,AE97)</f>
        <v>1</v>
      </c>
      <c r="AG97" s="20" t="s">
        <v>298</v>
      </c>
      <c r="AH97" s="21"/>
      <c r="AI97" s="20" t="s">
        <v>72</v>
      </c>
      <c r="AJ97" s="25" t="s">
        <v>286</v>
      </c>
      <c r="AK97" s="25" t="s">
        <v>135</v>
      </c>
      <c r="AL97" s="25" t="s">
        <v>135</v>
      </c>
      <c r="AM97" s="25" t="str">
        <f aca="false">AA97</f>
        <v>FK-PaymentInstructionGroup</v>
      </c>
      <c r="AN97" s="20" t="s">
        <v>189</v>
      </c>
      <c r="AP97" s="20" t="s">
        <v>136</v>
      </c>
      <c r="AQ97" s="20" t="s">
        <v>137</v>
      </c>
      <c r="AR97" s="25" t="s">
        <v>186</v>
      </c>
      <c r="AS97" s="25" t="s">
        <v>138</v>
      </c>
      <c r="AT97" s="25" t="s">
        <v>138</v>
      </c>
      <c r="AU97" s="25" t="s">
        <v>81</v>
      </c>
      <c r="AV97" s="20" t="s">
        <v>189</v>
      </c>
      <c r="AX97" s="20" t="s">
        <v>136</v>
      </c>
      <c r="AY97" s="22"/>
      <c r="AZ97" s="22"/>
      <c r="BA97" s="22"/>
      <c r="BB97" s="22"/>
      <c r="BC97" s="22"/>
      <c r="BD97" s="22"/>
      <c r="BE97" s="22"/>
      <c r="BF97" s="22"/>
      <c r="BG97" s="0"/>
      <c r="BH97" s="0"/>
    </row>
    <row r="98" s="20" customFormat="true" ht="24" hidden="false" customHeight="true" outlineLevel="0" collapsed="false">
      <c r="A98" s="20" t="s">
        <v>50</v>
      </c>
      <c r="B98" s="20" t="s">
        <v>50</v>
      </c>
      <c r="C98" s="21" t="s">
        <v>51</v>
      </c>
      <c r="D98" s="21"/>
      <c r="E98" s="20" t="s">
        <v>61</v>
      </c>
      <c r="F98" s="20" t="s">
        <v>61</v>
      </c>
      <c r="G98" s="21" t="s">
        <v>62</v>
      </c>
      <c r="H98" s="20" t="s">
        <v>52</v>
      </c>
      <c r="I98" s="23" t="s">
        <v>69</v>
      </c>
      <c r="J98" s="23" t="s">
        <v>52</v>
      </c>
      <c r="K98" s="23" t="s">
        <v>70</v>
      </c>
      <c r="L98" s="20" t="s">
        <v>71</v>
      </c>
      <c r="M98" s="20" t="s">
        <v>72</v>
      </c>
      <c r="N98" s="20" t="s">
        <v>286</v>
      </c>
      <c r="O98" s="20" t="s">
        <v>286</v>
      </c>
      <c r="P98" s="21" t="s">
        <v>287</v>
      </c>
      <c r="Q98" s="20" t="s">
        <v>299</v>
      </c>
      <c r="R98" s="20" t="s">
        <v>299</v>
      </c>
      <c r="S98" s="21" t="s">
        <v>300</v>
      </c>
      <c r="T98" s="20" t="n">
        <v>4</v>
      </c>
      <c r="U98" s="22" t="s">
        <v>77</v>
      </c>
      <c r="V98" s="20" t="s">
        <v>85</v>
      </c>
      <c r="Y98" s="20" t="s">
        <v>79</v>
      </c>
      <c r="AF98" s="20" t="n">
        <f aca="false">COUNTIF($AE$2:$AE$218,AE98)</f>
        <v>0</v>
      </c>
      <c r="AH98" s="21"/>
      <c r="AY98" s="22"/>
      <c r="AZ98" s="22"/>
      <c r="BA98" s="22"/>
      <c r="BB98" s="22"/>
      <c r="BC98" s="22"/>
      <c r="BD98" s="22"/>
      <c r="BE98" s="22"/>
      <c r="BF98" s="22"/>
      <c r="BG98" s="0"/>
      <c r="BH98" s="0"/>
    </row>
    <row r="99" s="20" customFormat="true" ht="24" hidden="false" customHeight="true" outlineLevel="0" collapsed="false">
      <c r="A99" s="20" t="s">
        <v>50</v>
      </c>
      <c r="B99" s="20" t="s">
        <v>50</v>
      </c>
      <c r="C99" s="21" t="s">
        <v>51</v>
      </c>
      <c r="D99" s="21"/>
      <c r="E99" s="20" t="s">
        <v>61</v>
      </c>
      <c r="F99" s="20" t="s">
        <v>61</v>
      </c>
      <c r="G99" s="21" t="s">
        <v>62</v>
      </c>
      <c r="H99" s="20" t="s">
        <v>52</v>
      </c>
      <c r="I99" s="23" t="s">
        <v>69</v>
      </c>
      <c r="J99" s="23" t="s">
        <v>52</v>
      </c>
      <c r="K99" s="23" t="s">
        <v>70</v>
      </c>
      <c r="L99" s="20" t="s">
        <v>71</v>
      </c>
      <c r="M99" s="20" t="s">
        <v>72</v>
      </c>
      <c r="N99" s="20" t="s">
        <v>286</v>
      </c>
      <c r="O99" s="20" t="s">
        <v>286</v>
      </c>
      <c r="P99" s="21" t="s">
        <v>287</v>
      </c>
      <c r="Q99" s="20" t="s">
        <v>301</v>
      </c>
      <c r="R99" s="20" t="s">
        <v>301</v>
      </c>
      <c r="S99" s="21" t="s">
        <v>302</v>
      </c>
      <c r="T99" s="20" t="n">
        <v>5</v>
      </c>
      <c r="U99" s="22" t="s">
        <v>77</v>
      </c>
      <c r="V99" s="20" t="s">
        <v>85</v>
      </c>
      <c r="Y99" s="20" t="s">
        <v>79</v>
      </c>
      <c r="AF99" s="20" t="n">
        <f aca="false">COUNTIF($AE$2:$AE$218,AE99)</f>
        <v>0</v>
      </c>
      <c r="AH99" s="21"/>
      <c r="AY99" s="22"/>
      <c r="AZ99" s="22"/>
      <c r="BA99" s="22"/>
      <c r="BB99" s="22"/>
      <c r="BC99" s="22"/>
      <c r="BD99" s="22"/>
      <c r="BE99" s="22"/>
      <c r="BF99" s="22"/>
      <c r="BG99" s="0"/>
      <c r="BH99" s="0"/>
    </row>
    <row r="100" s="20" customFormat="true" ht="24" hidden="false" customHeight="true" outlineLevel="0" collapsed="false">
      <c r="A100" s="20" t="s">
        <v>50</v>
      </c>
      <c r="B100" s="20" t="s">
        <v>50</v>
      </c>
      <c r="C100" s="21" t="s">
        <v>51</v>
      </c>
      <c r="D100" s="21"/>
      <c r="E100" s="20" t="s">
        <v>61</v>
      </c>
      <c r="F100" s="20" t="s">
        <v>61</v>
      </c>
      <c r="G100" s="21" t="s">
        <v>62</v>
      </c>
      <c r="H100" s="20" t="s">
        <v>52</v>
      </c>
      <c r="I100" s="23" t="s">
        <v>69</v>
      </c>
      <c r="J100" s="23" t="s">
        <v>52</v>
      </c>
      <c r="K100" s="23" t="s">
        <v>70</v>
      </c>
      <c r="L100" s="20" t="s">
        <v>71</v>
      </c>
      <c r="M100" s="20" t="s">
        <v>72</v>
      </c>
      <c r="N100" s="20" t="s">
        <v>286</v>
      </c>
      <c r="O100" s="20" t="s">
        <v>286</v>
      </c>
      <c r="P100" s="21" t="s">
        <v>287</v>
      </c>
      <c r="Q100" s="20" t="s">
        <v>303</v>
      </c>
      <c r="R100" s="20" t="s">
        <v>303</v>
      </c>
      <c r="S100" s="21" t="s">
        <v>304</v>
      </c>
      <c r="T100" s="20" t="n">
        <v>6</v>
      </c>
      <c r="U100" s="22" t="s">
        <v>77</v>
      </c>
      <c r="V100" s="20" t="s">
        <v>85</v>
      </c>
      <c r="Y100" s="20" t="s">
        <v>79</v>
      </c>
      <c r="AF100" s="20" t="n">
        <f aca="false">COUNTIF($AE$2:$AE$218,AE100)</f>
        <v>0</v>
      </c>
      <c r="AH100" s="21"/>
      <c r="AY100" s="22"/>
      <c r="AZ100" s="22"/>
      <c r="BA100" s="22"/>
      <c r="BB100" s="22"/>
      <c r="BC100" s="22"/>
      <c r="BD100" s="22"/>
      <c r="BE100" s="22"/>
      <c r="BF100" s="22"/>
      <c r="BG100" s="0"/>
      <c r="BH100" s="0"/>
    </row>
    <row r="101" s="20" customFormat="true" ht="24" hidden="false" customHeight="true" outlineLevel="0" collapsed="false">
      <c r="A101" s="20" t="s">
        <v>50</v>
      </c>
      <c r="B101" s="20" t="s">
        <v>50</v>
      </c>
      <c r="C101" s="21" t="s">
        <v>51</v>
      </c>
      <c r="D101" s="21"/>
      <c r="E101" s="20" t="s">
        <v>61</v>
      </c>
      <c r="F101" s="20" t="s">
        <v>61</v>
      </c>
      <c r="G101" s="21" t="s">
        <v>62</v>
      </c>
      <c r="H101" s="20" t="s">
        <v>52</v>
      </c>
      <c r="I101" s="23" t="s">
        <v>69</v>
      </c>
      <c r="J101" s="23" t="s">
        <v>52</v>
      </c>
      <c r="K101" s="23" t="s">
        <v>70</v>
      </c>
      <c r="L101" s="20" t="s">
        <v>71</v>
      </c>
      <c r="M101" s="20" t="s">
        <v>72</v>
      </c>
      <c r="N101" s="20" t="s">
        <v>286</v>
      </c>
      <c r="O101" s="20" t="s">
        <v>286</v>
      </c>
      <c r="P101" s="21" t="s">
        <v>287</v>
      </c>
      <c r="Q101" s="20" t="s">
        <v>305</v>
      </c>
      <c r="R101" s="20" t="s">
        <v>305</v>
      </c>
      <c r="S101" s="21" t="s">
        <v>306</v>
      </c>
      <c r="T101" s="20" t="n">
        <v>7</v>
      </c>
      <c r="U101" s="22" t="s">
        <v>77</v>
      </c>
      <c r="V101" s="20" t="s">
        <v>85</v>
      </c>
      <c r="Y101" s="20" t="s">
        <v>79</v>
      </c>
      <c r="AF101" s="20" t="n">
        <f aca="false">COUNTIF($AE$2:$AE$218,AE101)</f>
        <v>0</v>
      </c>
      <c r="AH101" s="21"/>
      <c r="AY101" s="22"/>
      <c r="AZ101" s="22"/>
      <c r="BA101" s="22"/>
      <c r="BB101" s="22"/>
      <c r="BC101" s="22"/>
      <c r="BD101" s="22"/>
      <c r="BE101" s="22"/>
      <c r="BF101" s="22"/>
      <c r="BG101" s="0"/>
      <c r="BH101" s="0"/>
    </row>
    <row r="102" s="20" customFormat="true" ht="24" hidden="false" customHeight="true" outlineLevel="0" collapsed="false">
      <c r="A102" s="20" t="s">
        <v>50</v>
      </c>
      <c r="B102" s="20" t="s">
        <v>50</v>
      </c>
      <c r="C102" s="21" t="s">
        <v>51</v>
      </c>
      <c r="D102" s="21"/>
      <c r="E102" s="20" t="s">
        <v>61</v>
      </c>
      <c r="F102" s="20" t="s">
        <v>61</v>
      </c>
      <c r="G102" s="21" t="s">
        <v>62</v>
      </c>
      <c r="H102" s="20" t="s">
        <v>52</v>
      </c>
      <c r="I102" s="23" t="s">
        <v>69</v>
      </c>
      <c r="J102" s="23" t="s">
        <v>52</v>
      </c>
      <c r="K102" s="23" t="s">
        <v>70</v>
      </c>
      <c r="L102" s="20" t="s">
        <v>71</v>
      </c>
      <c r="M102" s="20" t="s">
        <v>72</v>
      </c>
      <c r="N102" s="20" t="s">
        <v>286</v>
      </c>
      <c r="O102" s="20" t="s">
        <v>286</v>
      </c>
      <c r="P102" s="21" t="s">
        <v>287</v>
      </c>
      <c r="Q102" s="20" t="s">
        <v>284</v>
      </c>
      <c r="R102" s="20" t="s">
        <v>284</v>
      </c>
      <c r="S102" s="21" t="s">
        <v>307</v>
      </c>
      <c r="T102" s="20" t="n">
        <v>8</v>
      </c>
      <c r="U102" s="22" t="s">
        <v>77</v>
      </c>
      <c r="V102" s="20" t="s">
        <v>85</v>
      </c>
      <c r="Y102" s="20" t="s">
        <v>79</v>
      </c>
      <c r="AF102" s="20" t="n">
        <f aca="false">COUNTIF($AE$2:$AE$218,AE102)</f>
        <v>0</v>
      </c>
      <c r="AH102" s="21"/>
      <c r="AY102" s="22"/>
      <c r="AZ102" s="22"/>
      <c r="BA102" s="22"/>
      <c r="BB102" s="22"/>
      <c r="BC102" s="22"/>
      <c r="BD102" s="22"/>
      <c r="BE102" s="22"/>
      <c r="BF102" s="22"/>
      <c r="BG102" s="0"/>
      <c r="BH102" s="0"/>
    </row>
    <row r="103" s="20" customFormat="true" ht="24" hidden="false" customHeight="true" outlineLevel="0" collapsed="false">
      <c r="A103" s="20" t="s">
        <v>50</v>
      </c>
      <c r="B103" s="20" t="s">
        <v>50</v>
      </c>
      <c r="C103" s="21" t="s">
        <v>51</v>
      </c>
      <c r="D103" s="21"/>
      <c r="E103" s="20" t="s">
        <v>61</v>
      </c>
      <c r="F103" s="20" t="s">
        <v>61</v>
      </c>
      <c r="G103" s="21" t="s">
        <v>62</v>
      </c>
      <c r="H103" s="20" t="s">
        <v>52</v>
      </c>
      <c r="I103" s="23" t="s">
        <v>69</v>
      </c>
      <c r="J103" s="23" t="s">
        <v>52</v>
      </c>
      <c r="K103" s="23" t="s">
        <v>70</v>
      </c>
      <c r="L103" s="20" t="s">
        <v>71</v>
      </c>
      <c r="M103" s="20" t="s">
        <v>72</v>
      </c>
      <c r="N103" s="20" t="s">
        <v>286</v>
      </c>
      <c r="O103" s="20" t="s">
        <v>286</v>
      </c>
      <c r="P103" s="21" t="s">
        <v>287</v>
      </c>
      <c r="Q103" s="20" t="s">
        <v>308</v>
      </c>
      <c r="R103" s="20" t="s">
        <v>308</v>
      </c>
      <c r="S103" s="21" t="s">
        <v>309</v>
      </c>
      <c r="T103" s="20" t="n">
        <v>9</v>
      </c>
      <c r="U103" s="22" t="s">
        <v>77</v>
      </c>
      <c r="V103" s="20" t="s">
        <v>85</v>
      </c>
      <c r="Y103" s="20" t="s">
        <v>80</v>
      </c>
      <c r="AF103" s="20" t="n">
        <f aca="false">COUNTIF($AE$2:$AE$218,AE103)</f>
        <v>0</v>
      </c>
      <c r="AH103" s="21"/>
      <c r="AY103" s="22"/>
      <c r="AZ103" s="22"/>
      <c r="BA103" s="22"/>
      <c r="BB103" s="22"/>
      <c r="BC103" s="22"/>
      <c r="BD103" s="22"/>
      <c r="BE103" s="22"/>
      <c r="BF103" s="22"/>
      <c r="BG103" s="0"/>
      <c r="BH103" s="0"/>
    </row>
    <row r="104" s="20" customFormat="true" ht="24" hidden="false" customHeight="true" outlineLevel="0" collapsed="false">
      <c r="A104" s="20" t="s">
        <v>50</v>
      </c>
      <c r="B104" s="20" t="s">
        <v>50</v>
      </c>
      <c r="C104" s="21" t="s">
        <v>51</v>
      </c>
      <c r="D104" s="21"/>
      <c r="E104" s="20" t="s">
        <v>61</v>
      </c>
      <c r="F104" s="20" t="s">
        <v>61</v>
      </c>
      <c r="G104" s="21" t="s">
        <v>62</v>
      </c>
      <c r="H104" s="20" t="s">
        <v>52</v>
      </c>
      <c r="I104" s="23" t="s">
        <v>69</v>
      </c>
      <c r="J104" s="23" t="s">
        <v>52</v>
      </c>
      <c r="K104" s="23" t="s">
        <v>70</v>
      </c>
      <c r="L104" s="20" t="s">
        <v>71</v>
      </c>
      <c r="M104" s="20" t="s">
        <v>72</v>
      </c>
      <c r="N104" s="20" t="s">
        <v>286</v>
      </c>
      <c r="O104" s="20" t="s">
        <v>286</v>
      </c>
      <c r="P104" s="21" t="s">
        <v>287</v>
      </c>
      <c r="Q104" s="20" t="s">
        <v>310</v>
      </c>
      <c r="R104" s="20" t="s">
        <v>310</v>
      </c>
      <c r="S104" s="21" t="s">
        <v>311</v>
      </c>
      <c r="T104" s="20" t="n">
        <v>10</v>
      </c>
      <c r="U104" s="22" t="s">
        <v>77</v>
      </c>
      <c r="V104" s="20" t="s">
        <v>312</v>
      </c>
      <c r="Y104" s="20" t="s">
        <v>80</v>
      </c>
      <c r="AF104" s="20" t="n">
        <f aca="false">COUNTIF($AE$2:$AE$218,AE104)</f>
        <v>0</v>
      </c>
      <c r="AH104" s="21"/>
      <c r="AY104" s="22"/>
      <c r="AZ104" s="22"/>
      <c r="BA104" s="22"/>
      <c r="BB104" s="22"/>
      <c r="BC104" s="22"/>
      <c r="BD104" s="22"/>
      <c r="BE104" s="22"/>
      <c r="BF104" s="22"/>
      <c r="BG104" s="0"/>
      <c r="BH104" s="0"/>
    </row>
    <row r="105" s="20" customFormat="true" ht="24" hidden="false" customHeight="true" outlineLevel="0" collapsed="false">
      <c r="A105" s="20" t="s">
        <v>50</v>
      </c>
      <c r="B105" s="20" t="s">
        <v>50</v>
      </c>
      <c r="C105" s="21" t="s">
        <v>51</v>
      </c>
      <c r="D105" s="21"/>
      <c r="E105" s="20" t="s">
        <v>61</v>
      </c>
      <c r="F105" s="20" t="s">
        <v>61</v>
      </c>
      <c r="G105" s="21" t="s">
        <v>62</v>
      </c>
      <c r="H105" s="20" t="s">
        <v>52</v>
      </c>
      <c r="I105" s="23" t="s">
        <v>69</v>
      </c>
      <c r="J105" s="23" t="s">
        <v>52</v>
      </c>
      <c r="K105" s="23" t="s">
        <v>70</v>
      </c>
      <c r="L105" s="20" t="s">
        <v>71</v>
      </c>
      <c r="M105" s="20" t="s">
        <v>72</v>
      </c>
      <c r="N105" s="20" t="s">
        <v>286</v>
      </c>
      <c r="O105" s="20" t="s">
        <v>286</v>
      </c>
      <c r="P105" s="21" t="s">
        <v>287</v>
      </c>
      <c r="Q105" s="20" t="s">
        <v>313</v>
      </c>
      <c r="R105" s="20" t="s">
        <v>313</v>
      </c>
      <c r="S105" s="21" t="s">
        <v>314</v>
      </c>
      <c r="T105" s="20" t="n">
        <v>11</v>
      </c>
      <c r="U105" s="22" t="s">
        <v>77</v>
      </c>
      <c r="V105" s="20" t="s">
        <v>149</v>
      </c>
      <c r="Y105" s="20" t="s">
        <v>80</v>
      </c>
      <c r="AF105" s="20" t="n">
        <f aca="false">COUNTIF($AE$2:$AE$218,AE105)</f>
        <v>0</v>
      </c>
      <c r="AH105" s="21"/>
      <c r="AY105" s="22"/>
      <c r="AZ105" s="22"/>
      <c r="BA105" s="22"/>
      <c r="BB105" s="22"/>
      <c r="BC105" s="22"/>
      <c r="BD105" s="22"/>
      <c r="BE105" s="22"/>
      <c r="BF105" s="22"/>
      <c r="BG105" s="0"/>
      <c r="BH105" s="0"/>
    </row>
    <row r="106" s="23" customFormat="true" ht="24" hidden="false" customHeight="true" outlineLevel="0" collapsed="false">
      <c r="A106" s="23" t="s">
        <v>50</v>
      </c>
      <c r="B106" s="23" t="s">
        <v>50</v>
      </c>
      <c r="C106" s="24" t="s">
        <v>51</v>
      </c>
      <c r="D106" s="24"/>
      <c r="E106" s="23" t="s">
        <v>61</v>
      </c>
      <c r="F106" s="23" t="s">
        <v>61</v>
      </c>
      <c r="G106" s="24" t="s">
        <v>62</v>
      </c>
      <c r="H106" s="23" t="s">
        <v>52</v>
      </c>
      <c r="I106" s="23" t="s">
        <v>69</v>
      </c>
      <c r="J106" s="23" t="s">
        <v>52</v>
      </c>
      <c r="K106" s="23" t="s">
        <v>70</v>
      </c>
      <c r="L106" s="23" t="s">
        <v>71</v>
      </c>
      <c r="M106" s="23" t="s">
        <v>72</v>
      </c>
      <c r="N106" s="23" t="s">
        <v>315</v>
      </c>
      <c r="O106" s="23" t="s">
        <v>315</v>
      </c>
      <c r="P106" s="24" t="s">
        <v>316</v>
      </c>
      <c r="Q106" s="23" t="s">
        <v>317</v>
      </c>
      <c r="R106" s="23" t="s">
        <v>317</v>
      </c>
      <c r="S106" s="24" t="s">
        <v>76</v>
      </c>
      <c r="T106" s="23" t="n">
        <v>0</v>
      </c>
      <c r="U106" s="22" t="s">
        <v>77</v>
      </c>
      <c r="V106" s="23" t="s">
        <v>78</v>
      </c>
      <c r="Y106" s="23" t="s">
        <v>79</v>
      </c>
      <c r="Z106" s="23" t="s">
        <v>80</v>
      </c>
      <c r="AA106" s="23" t="s">
        <v>81</v>
      </c>
      <c r="AB106" s="23" t="s">
        <v>82</v>
      </c>
      <c r="AD106" s="23" t="str">
        <f aca="false">Q106</f>
        <v>CashEntryIdentifier</v>
      </c>
      <c r="AF106" s="23" t="n">
        <f aca="false">COUNTIF($AE$2:$AE$218,AE106)</f>
        <v>0</v>
      </c>
      <c r="AH106" s="24"/>
      <c r="AY106" s="22"/>
      <c r="AZ106" s="22"/>
      <c r="BA106" s="22"/>
      <c r="BB106" s="22"/>
      <c r="BC106" s="22"/>
      <c r="BD106" s="22"/>
      <c r="BE106" s="22"/>
      <c r="BF106" s="22"/>
      <c r="BG106" s="0"/>
      <c r="BH106" s="0"/>
    </row>
    <row r="107" s="23" customFormat="true" ht="24" hidden="false" customHeight="true" outlineLevel="0" collapsed="false">
      <c r="A107" s="23" t="s">
        <v>50</v>
      </c>
      <c r="B107" s="23" t="s">
        <v>50</v>
      </c>
      <c r="C107" s="24" t="s">
        <v>51</v>
      </c>
      <c r="D107" s="24"/>
      <c r="E107" s="23" t="s">
        <v>61</v>
      </c>
      <c r="F107" s="23" t="s">
        <v>61</v>
      </c>
      <c r="G107" s="24" t="s">
        <v>62</v>
      </c>
      <c r="H107" s="23" t="s">
        <v>52</v>
      </c>
      <c r="I107" s="23" t="s">
        <v>69</v>
      </c>
      <c r="J107" s="23" t="s">
        <v>52</v>
      </c>
      <c r="K107" s="23" t="s">
        <v>70</v>
      </c>
      <c r="L107" s="23" t="s">
        <v>71</v>
      </c>
      <c r="M107" s="23" t="s">
        <v>72</v>
      </c>
      <c r="N107" s="23" t="s">
        <v>315</v>
      </c>
      <c r="O107" s="23" t="s">
        <v>315</v>
      </c>
      <c r="P107" s="24" t="s">
        <v>316</v>
      </c>
      <c r="Q107" s="23" t="s">
        <v>270</v>
      </c>
      <c r="R107" s="23" t="s">
        <v>270</v>
      </c>
      <c r="S107" s="24" t="s">
        <v>271</v>
      </c>
      <c r="T107" s="23" t="n">
        <v>1</v>
      </c>
      <c r="U107" s="22" t="s">
        <v>77</v>
      </c>
      <c r="V107" s="23" t="s">
        <v>78</v>
      </c>
      <c r="Y107" s="23" t="s">
        <v>79</v>
      </c>
      <c r="AA107" s="23" t="s">
        <v>272</v>
      </c>
      <c r="AB107" s="23" t="s">
        <v>272</v>
      </c>
      <c r="AD107" s="20" t="str">
        <f aca="false">Q107</f>
        <v>CashAccountIdentifier</v>
      </c>
      <c r="AE107" s="23" t="s">
        <v>318</v>
      </c>
      <c r="AF107" s="23" t="n">
        <f aca="false">COUNTIF($AE$2:$AE$218,AE107)</f>
        <v>1</v>
      </c>
      <c r="AG107" s="23" t="s">
        <v>319</v>
      </c>
      <c r="AH107" s="24"/>
      <c r="AI107" s="23" t="s">
        <v>72</v>
      </c>
      <c r="AJ107" s="26" t="s">
        <v>315</v>
      </c>
      <c r="AK107" s="25" t="s">
        <v>135</v>
      </c>
      <c r="AL107" s="25" t="s">
        <v>135</v>
      </c>
      <c r="AM107" s="25" t="str">
        <f aca="false">AA107</f>
        <v>FK-CashAccount</v>
      </c>
      <c r="AN107" s="23" t="s">
        <v>270</v>
      </c>
      <c r="AP107" s="23" t="s">
        <v>172</v>
      </c>
      <c r="AQ107" s="20" t="s">
        <v>137</v>
      </c>
      <c r="AR107" s="26" t="s">
        <v>275</v>
      </c>
      <c r="AS107" s="25" t="s">
        <v>138</v>
      </c>
      <c r="AT107" s="25" t="s">
        <v>138</v>
      </c>
      <c r="AU107" s="25" t="s">
        <v>81</v>
      </c>
      <c r="AV107" s="23" t="s">
        <v>270</v>
      </c>
      <c r="AX107" s="23" t="s">
        <v>136</v>
      </c>
      <c r="AY107" s="22"/>
      <c r="AZ107" s="22"/>
      <c r="BA107" s="22"/>
      <c r="BB107" s="22"/>
      <c r="BC107" s="22"/>
      <c r="BD107" s="22"/>
      <c r="BE107" s="22"/>
      <c r="BF107" s="22"/>
      <c r="BG107" s="0"/>
      <c r="BH107" s="0"/>
    </row>
    <row r="108" s="23" customFormat="true" ht="24" hidden="false" customHeight="true" outlineLevel="0" collapsed="false">
      <c r="A108" s="23" t="s">
        <v>50</v>
      </c>
      <c r="B108" s="23" t="s">
        <v>50</v>
      </c>
      <c r="C108" s="24" t="s">
        <v>51</v>
      </c>
      <c r="D108" s="24"/>
      <c r="E108" s="23" t="s">
        <v>61</v>
      </c>
      <c r="F108" s="23" t="s">
        <v>61</v>
      </c>
      <c r="G108" s="24" t="s">
        <v>62</v>
      </c>
      <c r="H108" s="23" t="s">
        <v>52</v>
      </c>
      <c r="I108" s="23" t="s">
        <v>69</v>
      </c>
      <c r="J108" s="23" t="s">
        <v>52</v>
      </c>
      <c r="K108" s="23" t="s">
        <v>70</v>
      </c>
      <c r="L108" s="23" t="s">
        <v>71</v>
      </c>
      <c r="M108" s="23" t="s">
        <v>72</v>
      </c>
      <c r="N108" s="23" t="s">
        <v>315</v>
      </c>
      <c r="O108" s="23" t="s">
        <v>315</v>
      </c>
      <c r="P108" s="24" t="s">
        <v>316</v>
      </c>
      <c r="Q108" s="23" t="s">
        <v>288</v>
      </c>
      <c r="R108" s="23" t="s">
        <v>288</v>
      </c>
      <c r="S108" s="24" t="s">
        <v>320</v>
      </c>
      <c r="T108" s="23" t="n">
        <v>2</v>
      </c>
      <c r="U108" s="22" t="s">
        <v>77</v>
      </c>
      <c r="V108" s="23" t="s">
        <v>78</v>
      </c>
      <c r="Y108" s="23" t="s">
        <v>79</v>
      </c>
      <c r="AA108" s="23" t="s">
        <v>321</v>
      </c>
      <c r="AB108" s="23" t="s">
        <v>321</v>
      </c>
      <c r="AD108" s="20" t="str">
        <f aca="false">Q108</f>
        <v>BookingIdentifier</v>
      </c>
      <c r="AE108" s="23" t="s">
        <v>322</v>
      </c>
      <c r="AF108" s="23" t="n">
        <f aca="false">COUNTIF($AE$2:$AE$218,AE108)</f>
        <v>1</v>
      </c>
      <c r="AG108" s="23" t="s">
        <v>323</v>
      </c>
      <c r="AH108" s="24"/>
      <c r="AI108" s="23" t="s">
        <v>72</v>
      </c>
      <c r="AJ108" s="26" t="s">
        <v>315</v>
      </c>
      <c r="AK108" s="25" t="s">
        <v>135</v>
      </c>
      <c r="AL108" s="25" t="s">
        <v>135</v>
      </c>
      <c r="AM108" s="25" t="str">
        <f aca="false">AA108</f>
        <v>FK-Booking</v>
      </c>
      <c r="AN108" s="23" t="s">
        <v>288</v>
      </c>
      <c r="AP108" s="23" t="s">
        <v>172</v>
      </c>
      <c r="AQ108" s="20" t="s">
        <v>137</v>
      </c>
      <c r="AR108" s="26" t="s">
        <v>286</v>
      </c>
      <c r="AS108" s="25" t="s">
        <v>138</v>
      </c>
      <c r="AT108" s="25" t="s">
        <v>138</v>
      </c>
      <c r="AU108" s="25" t="s">
        <v>81</v>
      </c>
      <c r="AV108" s="23" t="s">
        <v>288</v>
      </c>
      <c r="AX108" s="23" t="s">
        <v>136</v>
      </c>
      <c r="AY108" s="22"/>
      <c r="AZ108" s="22"/>
      <c r="BA108" s="22"/>
      <c r="BB108" s="22"/>
      <c r="BC108" s="22"/>
      <c r="BD108" s="22"/>
      <c r="BE108" s="22"/>
      <c r="BF108" s="22"/>
      <c r="BG108" s="0"/>
      <c r="BH108" s="0"/>
    </row>
    <row r="109" s="23" customFormat="true" ht="24" hidden="false" customHeight="true" outlineLevel="0" collapsed="false">
      <c r="A109" s="23" t="s">
        <v>50</v>
      </c>
      <c r="B109" s="23" t="s">
        <v>50</v>
      </c>
      <c r="C109" s="24" t="s">
        <v>51</v>
      </c>
      <c r="D109" s="24"/>
      <c r="E109" s="23" t="s">
        <v>61</v>
      </c>
      <c r="F109" s="23" t="s">
        <v>61</v>
      </c>
      <c r="G109" s="24" t="s">
        <v>62</v>
      </c>
      <c r="H109" s="23" t="s">
        <v>52</v>
      </c>
      <c r="I109" s="23" t="s">
        <v>69</v>
      </c>
      <c r="J109" s="23" t="s">
        <v>52</v>
      </c>
      <c r="K109" s="23" t="s">
        <v>70</v>
      </c>
      <c r="L109" s="23" t="s">
        <v>71</v>
      </c>
      <c r="M109" s="23" t="s">
        <v>72</v>
      </c>
      <c r="N109" s="23" t="s">
        <v>315</v>
      </c>
      <c r="O109" s="23" t="s">
        <v>315</v>
      </c>
      <c r="P109" s="24" t="s">
        <v>316</v>
      </c>
      <c r="Q109" s="23" t="s">
        <v>324</v>
      </c>
      <c r="R109" s="23" t="s">
        <v>324</v>
      </c>
      <c r="S109" s="24" t="s">
        <v>325</v>
      </c>
      <c r="T109" s="23" t="n">
        <v>3</v>
      </c>
      <c r="U109" s="22" t="s">
        <v>77</v>
      </c>
      <c r="V109" s="23" t="s">
        <v>85</v>
      </c>
      <c r="Y109" s="23" t="s">
        <v>79</v>
      </c>
      <c r="AF109" s="23" t="n">
        <f aca="false">COUNTIF($AE$2:$AE$218,AE109)</f>
        <v>0</v>
      </c>
      <c r="AH109" s="24"/>
      <c r="AY109" s="22"/>
      <c r="AZ109" s="22"/>
      <c r="BA109" s="22"/>
      <c r="BB109" s="22"/>
      <c r="BC109" s="22"/>
      <c r="BD109" s="22"/>
      <c r="BE109" s="22"/>
      <c r="BF109" s="22"/>
      <c r="BG109" s="0"/>
      <c r="BH109" s="0"/>
    </row>
    <row r="110" s="23" customFormat="true" ht="24" hidden="false" customHeight="true" outlineLevel="0" collapsed="false">
      <c r="A110" s="23" t="s">
        <v>50</v>
      </c>
      <c r="B110" s="23" t="s">
        <v>50</v>
      </c>
      <c r="C110" s="24" t="s">
        <v>51</v>
      </c>
      <c r="D110" s="24"/>
      <c r="E110" s="23" t="s">
        <v>61</v>
      </c>
      <c r="F110" s="23" t="s">
        <v>61</v>
      </c>
      <c r="G110" s="24" t="s">
        <v>62</v>
      </c>
      <c r="H110" s="23" t="s">
        <v>52</v>
      </c>
      <c r="I110" s="23" t="s">
        <v>69</v>
      </c>
      <c r="J110" s="23" t="s">
        <v>52</v>
      </c>
      <c r="K110" s="23" t="s">
        <v>70</v>
      </c>
      <c r="L110" s="23" t="s">
        <v>71</v>
      </c>
      <c r="M110" s="23" t="s">
        <v>72</v>
      </c>
      <c r="N110" s="23" t="s">
        <v>315</v>
      </c>
      <c r="O110" s="23" t="s">
        <v>315</v>
      </c>
      <c r="P110" s="24" t="s">
        <v>316</v>
      </c>
      <c r="Q110" s="23" t="s">
        <v>326</v>
      </c>
      <c r="R110" s="23" t="s">
        <v>326</v>
      </c>
      <c r="S110" s="24" t="s">
        <v>327</v>
      </c>
      <c r="T110" s="23" t="n">
        <v>4</v>
      </c>
      <c r="U110" s="22" t="s">
        <v>77</v>
      </c>
      <c r="V110" s="23" t="s">
        <v>328</v>
      </c>
      <c r="Y110" s="23" t="s">
        <v>79</v>
      </c>
      <c r="AF110" s="23" t="n">
        <f aca="false">COUNTIF($AE$2:$AE$218,AE110)</f>
        <v>0</v>
      </c>
      <c r="AH110" s="24"/>
      <c r="AY110" s="22"/>
      <c r="AZ110" s="22"/>
      <c r="BA110" s="22"/>
      <c r="BB110" s="22"/>
      <c r="BC110" s="22"/>
      <c r="BD110" s="22"/>
      <c r="BE110" s="22"/>
      <c r="BF110" s="22"/>
      <c r="BG110" s="0"/>
      <c r="BH110" s="0"/>
    </row>
    <row r="111" s="23" customFormat="true" ht="24" hidden="false" customHeight="true" outlineLevel="0" collapsed="false">
      <c r="A111" s="23" t="s">
        <v>50</v>
      </c>
      <c r="B111" s="23" t="s">
        <v>50</v>
      </c>
      <c r="C111" s="24" t="s">
        <v>51</v>
      </c>
      <c r="D111" s="24"/>
      <c r="E111" s="23" t="s">
        <v>61</v>
      </c>
      <c r="F111" s="23" t="s">
        <v>61</v>
      </c>
      <c r="G111" s="24" t="s">
        <v>62</v>
      </c>
      <c r="H111" s="23" t="s">
        <v>52</v>
      </c>
      <c r="I111" s="23" t="s">
        <v>69</v>
      </c>
      <c r="J111" s="23" t="s">
        <v>52</v>
      </c>
      <c r="K111" s="23" t="s">
        <v>70</v>
      </c>
      <c r="L111" s="23" t="s">
        <v>71</v>
      </c>
      <c r="M111" s="23" t="s">
        <v>72</v>
      </c>
      <c r="N111" s="23" t="s">
        <v>315</v>
      </c>
      <c r="O111" s="23" t="s">
        <v>315</v>
      </c>
      <c r="P111" s="24" t="s">
        <v>316</v>
      </c>
      <c r="Q111" s="23" t="s">
        <v>284</v>
      </c>
      <c r="R111" s="23" t="s">
        <v>284</v>
      </c>
      <c r="S111" s="24" t="s">
        <v>329</v>
      </c>
      <c r="T111" s="23" t="n">
        <v>5</v>
      </c>
      <c r="U111" s="22" t="s">
        <v>77</v>
      </c>
      <c r="V111" s="23" t="s">
        <v>85</v>
      </c>
      <c r="Y111" s="23" t="s">
        <v>79</v>
      </c>
      <c r="AF111" s="23" t="n">
        <f aca="false">COUNTIF($AE$2:$AE$218,AE111)</f>
        <v>0</v>
      </c>
      <c r="AH111" s="24"/>
      <c r="AY111" s="22"/>
      <c r="AZ111" s="22"/>
      <c r="BA111" s="22"/>
      <c r="BB111" s="22"/>
      <c r="BC111" s="22"/>
      <c r="BD111" s="22"/>
      <c r="BE111" s="22"/>
      <c r="BF111" s="22"/>
      <c r="BG111" s="0"/>
      <c r="BH111" s="0"/>
    </row>
    <row r="112" s="23" customFormat="true" ht="24" hidden="false" customHeight="true" outlineLevel="0" collapsed="false">
      <c r="A112" s="23" t="s">
        <v>50</v>
      </c>
      <c r="B112" s="23" t="s">
        <v>50</v>
      </c>
      <c r="C112" s="24" t="s">
        <v>51</v>
      </c>
      <c r="D112" s="24"/>
      <c r="E112" s="23" t="s">
        <v>61</v>
      </c>
      <c r="F112" s="23" t="s">
        <v>61</v>
      </c>
      <c r="G112" s="24" t="s">
        <v>62</v>
      </c>
      <c r="H112" s="23" t="s">
        <v>52</v>
      </c>
      <c r="I112" s="23" t="s">
        <v>69</v>
      </c>
      <c r="J112" s="23" t="s">
        <v>52</v>
      </c>
      <c r="K112" s="23" t="s">
        <v>70</v>
      </c>
      <c r="L112" s="23" t="s">
        <v>71</v>
      </c>
      <c r="M112" s="23" t="s">
        <v>72</v>
      </c>
      <c r="N112" s="23" t="s">
        <v>315</v>
      </c>
      <c r="O112" s="23" t="s">
        <v>315</v>
      </c>
      <c r="P112" s="24" t="s">
        <v>316</v>
      </c>
      <c r="Q112" s="23" t="s">
        <v>330</v>
      </c>
      <c r="R112" s="23" t="s">
        <v>330</v>
      </c>
      <c r="S112" s="24" t="s">
        <v>331</v>
      </c>
      <c r="T112" s="23" t="n">
        <v>6</v>
      </c>
      <c r="U112" s="22" t="s">
        <v>77</v>
      </c>
      <c r="V112" s="23" t="s">
        <v>85</v>
      </c>
      <c r="Y112" s="23" t="s">
        <v>79</v>
      </c>
      <c r="AF112" s="23" t="n">
        <f aca="false">COUNTIF($AE$2:$AE$218,AE112)</f>
        <v>0</v>
      </c>
      <c r="AH112" s="24"/>
      <c r="AY112" s="22"/>
      <c r="AZ112" s="22"/>
      <c r="BA112" s="22"/>
      <c r="BB112" s="22"/>
      <c r="BC112" s="22"/>
      <c r="BD112" s="22"/>
      <c r="BE112" s="22"/>
      <c r="BF112" s="22"/>
      <c r="BG112" s="0"/>
      <c r="BH112" s="0"/>
    </row>
    <row r="113" s="23" customFormat="true" ht="24" hidden="false" customHeight="true" outlineLevel="0" collapsed="false">
      <c r="A113" s="23" t="s">
        <v>50</v>
      </c>
      <c r="B113" s="23" t="s">
        <v>50</v>
      </c>
      <c r="C113" s="24" t="s">
        <v>51</v>
      </c>
      <c r="D113" s="24"/>
      <c r="E113" s="23" t="s">
        <v>61</v>
      </c>
      <c r="F113" s="23" t="s">
        <v>61</v>
      </c>
      <c r="G113" s="24" t="s">
        <v>62</v>
      </c>
      <c r="H113" s="23" t="s">
        <v>52</v>
      </c>
      <c r="I113" s="23" t="s">
        <v>69</v>
      </c>
      <c r="J113" s="23" t="s">
        <v>52</v>
      </c>
      <c r="K113" s="23" t="s">
        <v>70</v>
      </c>
      <c r="L113" s="23" t="s">
        <v>71</v>
      </c>
      <c r="M113" s="23" t="s">
        <v>72</v>
      </c>
      <c r="N113" s="23" t="s">
        <v>315</v>
      </c>
      <c r="O113" s="23" t="s">
        <v>315</v>
      </c>
      <c r="P113" s="24" t="s">
        <v>316</v>
      </c>
      <c r="Q113" s="23" t="s">
        <v>332</v>
      </c>
      <c r="R113" s="23" t="s">
        <v>332</v>
      </c>
      <c r="S113" s="24" t="s">
        <v>333</v>
      </c>
      <c r="T113" s="23" t="n">
        <v>7</v>
      </c>
      <c r="U113" s="22" t="s">
        <v>77</v>
      </c>
      <c r="V113" s="23" t="s">
        <v>85</v>
      </c>
      <c r="Y113" s="23" t="s">
        <v>79</v>
      </c>
      <c r="AF113" s="23" t="n">
        <f aca="false">COUNTIF($AE$2:$AE$218,AE113)</f>
        <v>0</v>
      </c>
      <c r="AH113" s="24"/>
      <c r="AY113" s="22"/>
      <c r="AZ113" s="22"/>
      <c r="BA113" s="22"/>
      <c r="BB113" s="22"/>
      <c r="BC113" s="22"/>
      <c r="BD113" s="22"/>
      <c r="BE113" s="22"/>
      <c r="BF113" s="22"/>
      <c r="BG113" s="0"/>
      <c r="BH113" s="0"/>
    </row>
    <row r="114" s="23" customFormat="true" ht="24" hidden="false" customHeight="true" outlineLevel="0" collapsed="false">
      <c r="A114" s="23" t="s">
        <v>50</v>
      </c>
      <c r="B114" s="23" t="s">
        <v>50</v>
      </c>
      <c r="C114" s="24" t="s">
        <v>51</v>
      </c>
      <c r="D114" s="24"/>
      <c r="E114" s="23" t="s">
        <v>61</v>
      </c>
      <c r="F114" s="23" t="s">
        <v>61</v>
      </c>
      <c r="G114" s="24" t="s">
        <v>62</v>
      </c>
      <c r="H114" s="23" t="s">
        <v>52</v>
      </c>
      <c r="I114" s="23" t="s">
        <v>69</v>
      </c>
      <c r="J114" s="23" t="s">
        <v>52</v>
      </c>
      <c r="K114" s="23" t="s">
        <v>70</v>
      </c>
      <c r="L114" s="23" t="s">
        <v>71</v>
      </c>
      <c r="M114" s="23" t="s">
        <v>72</v>
      </c>
      <c r="N114" s="23" t="s">
        <v>315</v>
      </c>
      <c r="O114" s="23" t="s">
        <v>315</v>
      </c>
      <c r="P114" s="24" t="s">
        <v>316</v>
      </c>
      <c r="Q114" s="23" t="s">
        <v>334</v>
      </c>
      <c r="R114" s="23" t="s">
        <v>334</v>
      </c>
      <c r="S114" s="24" t="s">
        <v>335</v>
      </c>
      <c r="T114" s="23" t="n">
        <v>8</v>
      </c>
      <c r="U114" s="22" t="s">
        <v>77</v>
      </c>
      <c r="V114" s="23" t="s">
        <v>149</v>
      </c>
      <c r="Y114" s="23" t="s">
        <v>79</v>
      </c>
      <c r="AF114" s="23" t="n">
        <f aca="false">COUNTIF($AE$2:$AE$218,AE114)</f>
        <v>0</v>
      </c>
      <c r="AH114" s="24"/>
      <c r="AY114" s="22"/>
      <c r="AZ114" s="22"/>
      <c r="BA114" s="22"/>
      <c r="BB114" s="22"/>
      <c r="BC114" s="22"/>
      <c r="BD114" s="22"/>
      <c r="BE114" s="22"/>
      <c r="BF114" s="22"/>
      <c r="BG114" s="0"/>
      <c r="BH114" s="0"/>
    </row>
    <row r="115" s="23" customFormat="true" ht="24" hidden="false" customHeight="true" outlineLevel="0" collapsed="false">
      <c r="A115" s="23" t="s">
        <v>50</v>
      </c>
      <c r="B115" s="23" t="s">
        <v>50</v>
      </c>
      <c r="C115" s="24" t="s">
        <v>51</v>
      </c>
      <c r="D115" s="24"/>
      <c r="E115" s="23" t="s">
        <v>61</v>
      </c>
      <c r="F115" s="23" t="s">
        <v>61</v>
      </c>
      <c r="G115" s="24" t="s">
        <v>62</v>
      </c>
      <c r="H115" s="23" t="s">
        <v>52</v>
      </c>
      <c r="I115" s="23" t="s">
        <v>69</v>
      </c>
      <c r="J115" s="23" t="s">
        <v>52</v>
      </c>
      <c r="K115" s="23" t="s">
        <v>70</v>
      </c>
      <c r="L115" s="23" t="s">
        <v>71</v>
      </c>
      <c r="M115" s="23" t="s">
        <v>72</v>
      </c>
      <c r="N115" s="23" t="s">
        <v>315</v>
      </c>
      <c r="O115" s="23" t="s">
        <v>315</v>
      </c>
      <c r="P115" s="24" t="s">
        <v>316</v>
      </c>
      <c r="Q115" s="23" t="s">
        <v>336</v>
      </c>
      <c r="R115" s="23" t="s">
        <v>336</v>
      </c>
      <c r="S115" s="24" t="s">
        <v>337</v>
      </c>
      <c r="T115" s="23" t="n">
        <v>9</v>
      </c>
      <c r="U115" s="22" t="s">
        <v>77</v>
      </c>
      <c r="V115" s="23" t="s">
        <v>149</v>
      </c>
      <c r="Y115" s="23" t="s">
        <v>79</v>
      </c>
      <c r="AF115" s="23" t="n">
        <f aca="false">COUNTIF($AE$2:$AE$218,AE115)</f>
        <v>0</v>
      </c>
      <c r="AH115" s="24"/>
      <c r="AY115" s="22"/>
      <c r="AZ115" s="22"/>
      <c r="BA115" s="22"/>
      <c r="BB115" s="22"/>
      <c r="BC115" s="22"/>
      <c r="BD115" s="22"/>
      <c r="BE115" s="22"/>
      <c r="BF115" s="22"/>
      <c r="BG115" s="0"/>
      <c r="BH115" s="0"/>
    </row>
    <row r="116" s="20" customFormat="true" ht="24" hidden="false" customHeight="true" outlineLevel="0" collapsed="false">
      <c r="A116" s="20" t="s">
        <v>50</v>
      </c>
      <c r="B116" s="20" t="s">
        <v>50</v>
      </c>
      <c r="C116" s="21" t="s">
        <v>51</v>
      </c>
      <c r="D116" s="21"/>
      <c r="E116" s="20" t="s">
        <v>55</v>
      </c>
      <c r="F116" s="20" t="s">
        <v>55</v>
      </c>
      <c r="G116" s="21" t="s">
        <v>56</v>
      </c>
      <c r="H116" s="20" t="s">
        <v>52</v>
      </c>
      <c r="I116" s="23" t="s">
        <v>69</v>
      </c>
      <c r="J116" s="23" t="s">
        <v>52</v>
      </c>
      <c r="K116" s="23" t="s">
        <v>70</v>
      </c>
      <c r="L116" s="20" t="s">
        <v>71</v>
      </c>
      <c r="M116" s="20" t="s">
        <v>72</v>
      </c>
      <c r="N116" s="20" t="s">
        <v>338</v>
      </c>
      <c r="O116" s="20" t="s">
        <v>338</v>
      </c>
      <c r="P116" s="21" t="s">
        <v>339</v>
      </c>
      <c r="Q116" s="20" t="s">
        <v>340</v>
      </c>
      <c r="R116" s="20" t="s">
        <v>340</v>
      </c>
      <c r="S116" s="21" t="s">
        <v>76</v>
      </c>
      <c r="T116" s="20" t="n">
        <v>0</v>
      </c>
      <c r="U116" s="22" t="s">
        <v>77</v>
      </c>
      <c r="V116" s="20" t="s">
        <v>78</v>
      </c>
      <c r="Y116" s="20" t="s">
        <v>79</v>
      </c>
      <c r="Z116" s="20" t="s">
        <v>80</v>
      </c>
      <c r="AA116" s="20" t="s">
        <v>81</v>
      </c>
      <c r="AB116" s="20" t="s">
        <v>82</v>
      </c>
      <c r="AD116" s="20" t="str">
        <f aca="false">Q116</f>
        <v>ChargesIdentifier</v>
      </c>
      <c r="AF116" s="20" t="n">
        <f aca="false">COUNTIF($AE$2:$AE$218,AE116)</f>
        <v>0</v>
      </c>
      <c r="AH116" s="21"/>
      <c r="AY116" s="22"/>
      <c r="AZ116" s="22"/>
      <c r="BA116" s="22"/>
      <c r="BB116" s="22"/>
      <c r="BC116" s="22"/>
      <c r="BD116" s="22"/>
      <c r="BE116" s="22"/>
      <c r="BF116" s="22"/>
      <c r="BG116" s="0"/>
      <c r="BH116" s="0"/>
    </row>
    <row r="117" s="20" customFormat="true" ht="24" hidden="false" customHeight="true" outlineLevel="0" collapsed="false">
      <c r="A117" s="20" t="s">
        <v>50</v>
      </c>
      <c r="B117" s="20" t="s">
        <v>50</v>
      </c>
      <c r="C117" s="21" t="s">
        <v>51</v>
      </c>
      <c r="D117" s="21"/>
      <c r="E117" s="20" t="s">
        <v>55</v>
      </c>
      <c r="F117" s="20" t="s">
        <v>55</v>
      </c>
      <c r="G117" s="21" t="s">
        <v>56</v>
      </c>
      <c r="H117" s="20" t="s">
        <v>52</v>
      </c>
      <c r="I117" s="23" t="s">
        <v>69</v>
      </c>
      <c r="J117" s="23" t="s">
        <v>52</v>
      </c>
      <c r="K117" s="23" t="s">
        <v>70</v>
      </c>
      <c r="L117" s="20" t="s">
        <v>71</v>
      </c>
      <c r="M117" s="20" t="s">
        <v>72</v>
      </c>
      <c r="N117" s="20" t="s">
        <v>338</v>
      </c>
      <c r="O117" s="20" t="s">
        <v>338</v>
      </c>
      <c r="P117" s="21" t="s">
        <v>339</v>
      </c>
      <c r="Q117" s="20" t="s">
        <v>180</v>
      </c>
      <c r="R117" s="20" t="s">
        <v>180</v>
      </c>
      <c r="S117" s="21" t="s">
        <v>341</v>
      </c>
      <c r="T117" s="20" t="n">
        <v>1</v>
      </c>
      <c r="U117" s="22" t="s">
        <v>77</v>
      </c>
      <c r="V117" s="20" t="s">
        <v>78</v>
      </c>
      <c r="Y117" s="20" t="s">
        <v>79</v>
      </c>
      <c r="AA117" s="23" t="s">
        <v>181</v>
      </c>
      <c r="AB117" s="23" t="s">
        <v>181</v>
      </c>
      <c r="AD117" s="20" t="str">
        <f aca="false">Q117</f>
        <v>PaymentInstructionInternalIdentifier</v>
      </c>
      <c r="AE117" s="20" t="s">
        <v>342</v>
      </c>
      <c r="AF117" s="20" t="n">
        <f aca="false">COUNTIF($AE$2:$AE$218,AE117)</f>
        <v>1</v>
      </c>
      <c r="AG117" s="20" t="s">
        <v>343</v>
      </c>
      <c r="AH117" s="21"/>
      <c r="AI117" s="20" t="s">
        <v>72</v>
      </c>
      <c r="AJ117" s="25" t="s">
        <v>338</v>
      </c>
      <c r="AK117" s="25" t="s">
        <v>135</v>
      </c>
      <c r="AL117" s="25" t="s">
        <v>135</v>
      </c>
      <c r="AM117" s="25" t="str">
        <f aca="false">AA117</f>
        <v>FK-PaymentInstruction</v>
      </c>
      <c r="AN117" s="20" t="s">
        <v>180</v>
      </c>
      <c r="AP117" s="20" t="s">
        <v>172</v>
      </c>
      <c r="AQ117" s="20" t="s">
        <v>137</v>
      </c>
      <c r="AR117" s="25" t="s">
        <v>183</v>
      </c>
      <c r="AS117" s="25" t="s">
        <v>138</v>
      </c>
      <c r="AT117" s="25" t="s">
        <v>138</v>
      </c>
      <c r="AU117" s="25" t="s">
        <v>81</v>
      </c>
      <c r="AV117" s="20" t="s">
        <v>180</v>
      </c>
      <c r="AX117" s="20" t="s">
        <v>136</v>
      </c>
      <c r="AY117" s="22"/>
      <c r="AZ117" s="22"/>
      <c r="BA117" s="22"/>
      <c r="BB117" s="22"/>
      <c r="BC117" s="22"/>
      <c r="BD117" s="22"/>
      <c r="BE117" s="22"/>
      <c r="BF117" s="22"/>
      <c r="BG117" s="0"/>
      <c r="BH117" s="0"/>
    </row>
    <row r="118" s="20" customFormat="true" ht="24" hidden="false" customHeight="true" outlineLevel="0" collapsed="false">
      <c r="A118" s="20" t="s">
        <v>50</v>
      </c>
      <c r="B118" s="20" t="s">
        <v>50</v>
      </c>
      <c r="C118" s="21" t="s">
        <v>51</v>
      </c>
      <c r="D118" s="21"/>
      <c r="E118" s="20" t="s">
        <v>55</v>
      </c>
      <c r="F118" s="20" t="s">
        <v>55</v>
      </c>
      <c r="G118" s="21" t="s">
        <v>56</v>
      </c>
      <c r="H118" s="20" t="s">
        <v>52</v>
      </c>
      <c r="I118" s="23" t="s">
        <v>69</v>
      </c>
      <c r="J118" s="23" t="s">
        <v>52</v>
      </c>
      <c r="K118" s="23" t="s">
        <v>70</v>
      </c>
      <c r="L118" s="20" t="s">
        <v>71</v>
      </c>
      <c r="M118" s="20" t="s">
        <v>72</v>
      </c>
      <c r="N118" s="20" t="s">
        <v>338</v>
      </c>
      <c r="O118" s="20" t="s">
        <v>338</v>
      </c>
      <c r="P118" s="21" t="s">
        <v>339</v>
      </c>
      <c r="Q118" s="20" t="s">
        <v>344</v>
      </c>
      <c r="R118" s="20" t="s">
        <v>344</v>
      </c>
      <c r="S118" s="21" t="s">
        <v>345</v>
      </c>
      <c r="T118" s="20" t="n">
        <v>2</v>
      </c>
      <c r="U118" s="22" t="s">
        <v>77</v>
      </c>
      <c r="V118" s="20" t="s">
        <v>328</v>
      </c>
      <c r="W118" s="20" t="s">
        <v>346</v>
      </c>
      <c r="Y118" s="20" t="s">
        <v>79</v>
      </c>
      <c r="AF118" s="20" t="n">
        <f aca="false">COUNTIF($AE$2:$AE$218,AE118)</f>
        <v>0</v>
      </c>
      <c r="AH118" s="21"/>
      <c r="AY118" s="22"/>
      <c r="AZ118" s="22"/>
      <c r="BA118" s="22"/>
      <c r="BB118" s="22"/>
      <c r="BC118" s="22"/>
      <c r="BD118" s="22"/>
      <c r="BE118" s="22"/>
      <c r="BF118" s="22"/>
      <c r="BG118" s="0"/>
      <c r="BH118" s="0"/>
    </row>
    <row r="119" s="20" customFormat="true" ht="24" hidden="false" customHeight="true" outlineLevel="0" collapsed="false">
      <c r="A119" s="20" t="s">
        <v>50</v>
      </c>
      <c r="B119" s="20" t="s">
        <v>50</v>
      </c>
      <c r="C119" s="21" t="s">
        <v>51</v>
      </c>
      <c r="D119" s="21"/>
      <c r="E119" s="20" t="s">
        <v>55</v>
      </c>
      <c r="F119" s="20" t="s">
        <v>55</v>
      </c>
      <c r="G119" s="21" t="s">
        <v>56</v>
      </c>
      <c r="H119" s="20" t="s">
        <v>52</v>
      </c>
      <c r="I119" s="23" t="s">
        <v>69</v>
      </c>
      <c r="J119" s="23" t="s">
        <v>52</v>
      </c>
      <c r="K119" s="23" t="s">
        <v>70</v>
      </c>
      <c r="L119" s="20" t="s">
        <v>71</v>
      </c>
      <c r="M119" s="20" t="s">
        <v>72</v>
      </c>
      <c r="N119" s="20" t="s">
        <v>338</v>
      </c>
      <c r="O119" s="20" t="s">
        <v>338</v>
      </c>
      <c r="P119" s="21" t="s">
        <v>339</v>
      </c>
      <c r="Q119" s="20" t="s">
        <v>347</v>
      </c>
      <c r="R119" s="20" t="s">
        <v>347</v>
      </c>
      <c r="S119" s="21" t="s">
        <v>348</v>
      </c>
      <c r="T119" s="20" t="n">
        <v>3</v>
      </c>
      <c r="U119" s="22" t="s">
        <v>77</v>
      </c>
      <c r="V119" s="20" t="s">
        <v>85</v>
      </c>
      <c r="W119" s="20" t="s">
        <v>349</v>
      </c>
      <c r="Y119" s="20" t="s">
        <v>79</v>
      </c>
      <c r="AF119" s="20" t="n">
        <f aca="false">COUNTIF($AE$2:$AE$218,AE119)</f>
        <v>0</v>
      </c>
      <c r="AH119" s="21"/>
      <c r="AY119" s="22"/>
      <c r="AZ119" s="22"/>
      <c r="BA119" s="22"/>
      <c r="BB119" s="22"/>
      <c r="BC119" s="22"/>
      <c r="BD119" s="22"/>
      <c r="BE119" s="22"/>
      <c r="BF119" s="22"/>
      <c r="BG119" s="0"/>
      <c r="BH119" s="0"/>
    </row>
    <row r="120" s="20" customFormat="true" ht="24" hidden="false" customHeight="true" outlineLevel="0" collapsed="false">
      <c r="A120" s="20" t="s">
        <v>50</v>
      </c>
      <c r="B120" s="20" t="s">
        <v>50</v>
      </c>
      <c r="C120" s="21" t="s">
        <v>51</v>
      </c>
      <c r="D120" s="21"/>
      <c r="E120" s="20" t="s">
        <v>55</v>
      </c>
      <c r="F120" s="20" t="s">
        <v>55</v>
      </c>
      <c r="G120" s="21" t="s">
        <v>56</v>
      </c>
      <c r="H120" s="20" t="s">
        <v>52</v>
      </c>
      <c r="I120" s="23" t="s">
        <v>69</v>
      </c>
      <c r="J120" s="23" t="s">
        <v>52</v>
      </c>
      <c r="K120" s="23" t="s">
        <v>70</v>
      </c>
      <c r="L120" s="20" t="s">
        <v>71</v>
      </c>
      <c r="M120" s="20" t="s">
        <v>72</v>
      </c>
      <c r="N120" s="20" t="s">
        <v>338</v>
      </c>
      <c r="O120" s="20" t="s">
        <v>338</v>
      </c>
      <c r="P120" s="21" t="s">
        <v>339</v>
      </c>
      <c r="Q120" s="20" t="s">
        <v>350</v>
      </c>
      <c r="R120" s="20" t="s">
        <v>350</v>
      </c>
      <c r="S120" s="21" t="s">
        <v>351</v>
      </c>
      <c r="T120" s="20" t="n">
        <v>4</v>
      </c>
      <c r="U120" s="22" t="s">
        <v>77</v>
      </c>
      <c r="V120" s="20" t="s">
        <v>78</v>
      </c>
      <c r="W120" s="20" t="s">
        <v>352</v>
      </c>
      <c r="Y120" s="20" t="s">
        <v>79</v>
      </c>
      <c r="AA120" s="23" t="s">
        <v>163</v>
      </c>
      <c r="AB120" s="23" t="s">
        <v>163</v>
      </c>
      <c r="AD120" s="20" t="str">
        <f aca="false">Q120</f>
        <v>ChargingAgent</v>
      </c>
      <c r="AE120" s="20" t="s">
        <v>353</v>
      </c>
      <c r="AF120" s="20" t="n">
        <f aca="false">COUNTIF($AE$2:$AE$218,AE120)</f>
        <v>1</v>
      </c>
      <c r="AG120" s="20" t="s">
        <v>354</v>
      </c>
      <c r="AH120" s="21"/>
      <c r="AI120" s="20" t="s">
        <v>72</v>
      </c>
      <c r="AJ120" s="25" t="s">
        <v>338</v>
      </c>
      <c r="AK120" s="25" t="s">
        <v>135</v>
      </c>
      <c r="AL120" s="25" t="s">
        <v>135</v>
      </c>
      <c r="AM120" s="25" t="str">
        <f aca="false">AA120</f>
        <v>FK-PartyIdentification</v>
      </c>
      <c r="AN120" s="20" t="s">
        <v>350</v>
      </c>
      <c r="AP120" s="20" t="s">
        <v>136</v>
      </c>
      <c r="AQ120" s="20" t="s">
        <v>137</v>
      </c>
      <c r="AR120" s="25" t="s">
        <v>128</v>
      </c>
      <c r="AS120" s="25" t="s">
        <v>138</v>
      </c>
      <c r="AT120" s="25" t="s">
        <v>138</v>
      </c>
      <c r="AU120" s="25" t="s">
        <v>81</v>
      </c>
      <c r="AV120" s="20" t="s">
        <v>130</v>
      </c>
      <c r="AX120" s="20" t="s">
        <v>136</v>
      </c>
      <c r="AY120" s="22"/>
      <c r="AZ120" s="22"/>
      <c r="BA120" s="22"/>
      <c r="BB120" s="22"/>
      <c r="BC120" s="22"/>
      <c r="BD120" s="22"/>
      <c r="BE120" s="22"/>
      <c r="BF120" s="22"/>
      <c r="BG120" s="0"/>
      <c r="BH120" s="0"/>
    </row>
    <row r="121" s="20" customFormat="true" ht="24" hidden="false" customHeight="true" outlineLevel="0" collapsed="false">
      <c r="A121" s="20" t="s">
        <v>50</v>
      </c>
      <c r="B121" s="20" t="s">
        <v>50</v>
      </c>
      <c r="C121" s="21" t="s">
        <v>51</v>
      </c>
      <c r="D121" s="21"/>
      <c r="E121" s="20" t="s">
        <v>55</v>
      </c>
      <c r="F121" s="20" t="s">
        <v>55</v>
      </c>
      <c r="G121" s="21" t="s">
        <v>56</v>
      </c>
      <c r="H121" s="20" t="s">
        <v>52</v>
      </c>
      <c r="I121" s="23" t="s">
        <v>69</v>
      </c>
      <c r="J121" s="23" t="s">
        <v>52</v>
      </c>
      <c r="K121" s="23" t="s">
        <v>70</v>
      </c>
      <c r="L121" s="20" t="s">
        <v>71</v>
      </c>
      <c r="M121" s="20" t="s">
        <v>72</v>
      </c>
      <c r="N121" s="20" t="s">
        <v>338</v>
      </c>
      <c r="O121" s="20" t="s">
        <v>338</v>
      </c>
      <c r="P121" s="21" t="s">
        <v>339</v>
      </c>
      <c r="Q121" s="20" t="s">
        <v>355</v>
      </c>
      <c r="R121" s="20" t="s">
        <v>355</v>
      </c>
      <c r="S121" s="21" t="s">
        <v>356</v>
      </c>
      <c r="T121" s="20" t="n">
        <v>5</v>
      </c>
      <c r="U121" s="22" t="s">
        <v>77</v>
      </c>
      <c r="V121" s="20" t="s">
        <v>85</v>
      </c>
      <c r="W121" s="20" t="s">
        <v>357</v>
      </c>
      <c r="Y121" s="20" t="s">
        <v>80</v>
      </c>
      <c r="AF121" s="20" t="n">
        <f aca="false">COUNTIF($AE$2:$AE$218,AE121)</f>
        <v>0</v>
      </c>
      <c r="AH121" s="21"/>
      <c r="AY121" s="22"/>
      <c r="AZ121" s="22"/>
      <c r="BA121" s="22"/>
      <c r="BB121" s="22"/>
      <c r="BC121" s="22"/>
      <c r="BD121" s="22"/>
      <c r="BE121" s="22"/>
      <c r="BF121" s="22"/>
      <c r="BG121" s="0"/>
      <c r="BH121" s="0"/>
    </row>
    <row r="122" s="23" customFormat="true" ht="24" hidden="false" customHeight="true" outlineLevel="0" collapsed="false">
      <c r="A122" s="23" t="s">
        <v>50</v>
      </c>
      <c r="B122" s="23" t="s">
        <v>50</v>
      </c>
      <c r="C122" s="24" t="s">
        <v>51</v>
      </c>
      <c r="D122" s="24"/>
      <c r="E122" s="23" t="s">
        <v>55</v>
      </c>
      <c r="F122" s="23" t="s">
        <v>55</v>
      </c>
      <c r="G122" s="24" t="s">
        <v>56</v>
      </c>
      <c r="H122" s="23" t="s">
        <v>52</v>
      </c>
      <c r="I122" s="23" t="s">
        <v>69</v>
      </c>
      <c r="J122" s="23" t="s">
        <v>52</v>
      </c>
      <c r="K122" s="23" t="s">
        <v>70</v>
      </c>
      <c r="L122" s="23" t="s">
        <v>71</v>
      </c>
      <c r="M122" s="23" t="s">
        <v>72</v>
      </c>
      <c r="N122" s="23" t="s">
        <v>358</v>
      </c>
      <c r="O122" s="23" t="s">
        <v>358</v>
      </c>
      <c r="P122" s="24" t="s">
        <v>359</v>
      </c>
      <c r="Q122" s="23" t="s">
        <v>360</v>
      </c>
      <c r="R122" s="23" t="s">
        <v>360</v>
      </c>
      <c r="S122" s="24" t="s">
        <v>76</v>
      </c>
      <c r="T122" s="23" t="n">
        <v>0</v>
      </c>
      <c r="U122" s="22" t="s">
        <v>77</v>
      </c>
      <c r="V122" s="23" t="s">
        <v>78</v>
      </c>
      <c r="Y122" s="23" t="s">
        <v>79</v>
      </c>
      <c r="Z122" s="23" t="s">
        <v>80</v>
      </c>
      <c r="AA122" s="23" t="s">
        <v>81</v>
      </c>
      <c r="AB122" s="23" t="s">
        <v>82</v>
      </c>
      <c r="AD122" s="23" t="str">
        <f aca="false">Q122</f>
        <v>PaymentPartyRoleInstructionIdentifier</v>
      </c>
      <c r="AF122" s="23" t="n">
        <f aca="false">COUNTIF($AE$2:$AE$218,AE122)</f>
        <v>0</v>
      </c>
      <c r="AH122" s="24"/>
      <c r="AY122" s="22"/>
      <c r="AZ122" s="22"/>
      <c r="BA122" s="22"/>
      <c r="BB122" s="22"/>
      <c r="BC122" s="22"/>
      <c r="BD122" s="22"/>
      <c r="BE122" s="22"/>
      <c r="BF122" s="22"/>
      <c r="BG122" s="0"/>
      <c r="BH122" s="0"/>
    </row>
    <row r="123" s="23" customFormat="true" ht="24" hidden="false" customHeight="true" outlineLevel="0" collapsed="false">
      <c r="A123" s="23" t="s">
        <v>50</v>
      </c>
      <c r="B123" s="23" t="s">
        <v>50</v>
      </c>
      <c r="C123" s="24" t="s">
        <v>51</v>
      </c>
      <c r="D123" s="24"/>
      <c r="E123" s="23" t="s">
        <v>55</v>
      </c>
      <c r="F123" s="23" t="s">
        <v>55</v>
      </c>
      <c r="G123" s="24" t="s">
        <v>56</v>
      </c>
      <c r="H123" s="23" t="s">
        <v>52</v>
      </c>
      <c r="I123" s="23" t="s">
        <v>69</v>
      </c>
      <c r="J123" s="23" t="s">
        <v>52</v>
      </c>
      <c r="K123" s="23" t="s">
        <v>70</v>
      </c>
      <c r="L123" s="23" t="s">
        <v>71</v>
      </c>
      <c r="M123" s="23" t="s">
        <v>72</v>
      </c>
      <c r="N123" s="23" t="s">
        <v>358</v>
      </c>
      <c r="O123" s="23" t="s">
        <v>358</v>
      </c>
      <c r="P123" s="24" t="s">
        <v>359</v>
      </c>
      <c r="Q123" s="23" t="s">
        <v>221</v>
      </c>
      <c r="R123" s="23" t="s">
        <v>221</v>
      </c>
      <c r="S123" s="24"/>
      <c r="T123" s="23" t="n">
        <v>1</v>
      </c>
      <c r="U123" s="22" t="s">
        <v>77</v>
      </c>
      <c r="V123" s="23" t="s">
        <v>78</v>
      </c>
      <c r="Y123" s="23" t="s">
        <v>79</v>
      </c>
      <c r="AA123" s="23" t="s">
        <v>361</v>
      </c>
      <c r="AB123" s="23" t="s">
        <v>361</v>
      </c>
      <c r="AD123" s="20" t="str">
        <f aca="false">Q123</f>
        <v>PaymentPartyRoleID</v>
      </c>
      <c r="AE123" s="23" t="s">
        <v>362</v>
      </c>
      <c r="AF123" s="23" t="n">
        <f aca="false">COUNTIF($AE$2:$AE$218,AE123)</f>
        <v>1</v>
      </c>
      <c r="AG123" s="23" t="s">
        <v>363</v>
      </c>
      <c r="AH123" s="24"/>
      <c r="AI123" s="23" t="s">
        <v>72</v>
      </c>
      <c r="AJ123" s="26" t="s">
        <v>358</v>
      </c>
      <c r="AK123" s="25" t="s">
        <v>135</v>
      </c>
      <c r="AL123" s="25" t="s">
        <v>135</v>
      </c>
      <c r="AM123" s="25" t="str">
        <f aca="false">AA123</f>
        <v>FK-PaymentPartyRole</v>
      </c>
      <c r="AN123" s="23" t="s">
        <v>221</v>
      </c>
      <c r="AP123" s="23" t="s">
        <v>172</v>
      </c>
      <c r="AQ123" s="20" t="s">
        <v>137</v>
      </c>
      <c r="AR123" s="26" t="s">
        <v>218</v>
      </c>
      <c r="AS123" s="25" t="s">
        <v>138</v>
      </c>
      <c r="AT123" s="25" t="s">
        <v>138</v>
      </c>
      <c r="AU123" s="25" t="s">
        <v>81</v>
      </c>
      <c r="AV123" s="23" t="s">
        <v>221</v>
      </c>
      <c r="AX123" s="23" t="s">
        <v>136</v>
      </c>
      <c r="AY123" s="22"/>
      <c r="AZ123" s="22"/>
      <c r="BA123" s="22"/>
      <c r="BB123" s="22"/>
      <c r="BC123" s="22"/>
      <c r="BD123" s="22"/>
      <c r="BE123" s="22"/>
      <c r="BF123" s="22"/>
      <c r="BG123" s="0"/>
      <c r="BH123" s="0"/>
    </row>
    <row r="124" s="23" customFormat="true" ht="24" hidden="false" customHeight="true" outlineLevel="0" collapsed="false">
      <c r="A124" s="23" t="s">
        <v>50</v>
      </c>
      <c r="B124" s="23" t="s">
        <v>50</v>
      </c>
      <c r="C124" s="24" t="s">
        <v>51</v>
      </c>
      <c r="D124" s="24"/>
      <c r="E124" s="23" t="s">
        <v>55</v>
      </c>
      <c r="F124" s="23" t="s">
        <v>55</v>
      </c>
      <c r="G124" s="24" t="s">
        <v>56</v>
      </c>
      <c r="H124" s="23" t="s">
        <v>52</v>
      </c>
      <c r="I124" s="23" t="s">
        <v>69</v>
      </c>
      <c r="J124" s="23" t="s">
        <v>52</v>
      </c>
      <c r="K124" s="23" t="s">
        <v>70</v>
      </c>
      <c r="L124" s="23" t="s">
        <v>71</v>
      </c>
      <c r="M124" s="23" t="s">
        <v>72</v>
      </c>
      <c r="N124" s="23" t="s">
        <v>358</v>
      </c>
      <c r="O124" s="23" t="s">
        <v>358</v>
      </c>
      <c r="P124" s="24" t="s">
        <v>359</v>
      </c>
      <c r="Q124" s="23" t="s">
        <v>180</v>
      </c>
      <c r="R124" s="23" t="s">
        <v>180</v>
      </c>
      <c r="S124" s="24"/>
      <c r="T124" s="23" t="n">
        <v>2</v>
      </c>
      <c r="U124" s="22" t="s">
        <v>77</v>
      </c>
      <c r="V124" s="23" t="s">
        <v>78</v>
      </c>
      <c r="Y124" s="23" t="s">
        <v>79</v>
      </c>
      <c r="AA124" s="23" t="s">
        <v>181</v>
      </c>
      <c r="AB124" s="23" t="s">
        <v>181</v>
      </c>
      <c r="AD124" s="20" t="str">
        <f aca="false">Q124</f>
        <v>PaymentInstructionInternalIdentifier</v>
      </c>
      <c r="AE124" s="23" t="s">
        <v>364</v>
      </c>
      <c r="AF124" s="23" t="n">
        <f aca="false">COUNTIF($AE$2:$AE$218,AE124)</f>
        <v>1</v>
      </c>
      <c r="AG124" s="23" t="s">
        <v>365</v>
      </c>
      <c r="AH124" s="24"/>
      <c r="AI124" s="23" t="s">
        <v>72</v>
      </c>
      <c r="AJ124" s="26" t="s">
        <v>358</v>
      </c>
      <c r="AK124" s="25" t="s">
        <v>135</v>
      </c>
      <c r="AL124" s="25" t="s">
        <v>135</v>
      </c>
      <c r="AM124" s="25" t="str">
        <f aca="false">AA124</f>
        <v>FK-PaymentInstruction</v>
      </c>
      <c r="AN124" s="23" t="s">
        <v>180</v>
      </c>
      <c r="AP124" s="23" t="s">
        <v>172</v>
      </c>
      <c r="AQ124" s="20" t="s">
        <v>137</v>
      </c>
      <c r="AR124" s="26" t="s">
        <v>183</v>
      </c>
      <c r="AS124" s="25" t="s">
        <v>138</v>
      </c>
      <c r="AT124" s="25" t="s">
        <v>138</v>
      </c>
      <c r="AU124" s="25" t="s">
        <v>81</v>
      </c>
      <c r="AV124" s="23" t="s">
        <v>180</v>
      </c>
      <c r="AX124" s="23" t="s">
        <v>136</v>
      </c>
      <c r="AY124" s="22"/>
      <c r="AZ124" s="22"/>
      <c r="BA124" s="22"/>
      <c r="BB124" s="22"/>
      <c r="BC124" s="22"/>
      <c r="BD124" s="22"/>
      <c r="BE124" s="22"/>
      <c r="BF124" s="22"/>
      <c r="BG124" s="0"/>
      <c r="BH124" s="0"/>
    </row>
    <row r="125" s="23" customFormat="true" ht="24" hidden="false" customHeight="true" outlineLevel="0" collapsed="false">
      <c r="A125" s="23" t="s">
        <v>50</v>
      </c>
      <c r="B125" s="23" t="s">
        <v>50</v>
      </c>
      <c r="C125" s="24" t="s">
        <v>51</v>
      </c>
      <c r="D125" s="24"/>
      <c r="E125" s="23" t="s">
        <v>55</v>
      </c>
      <c r="F125" s="23" t="s">
        <v>55</v>
      </c>
      <c r="G125" s="24" t="s">
        <v>56</v>
      </c>
      <c r="H125" s="23" t="s">
        <v>52</v>
      </c>
      <c r="I125" s="23" t="s">
        <v>69</v>
      </c>
      <c r="J125" s="23" t="s">
        <v>52</v>
      </c>
      <c r="K125" s="23" t="s">
        <v>70</v>
      </c>
      <c r="L125" s="23" t="s">
        <v>71</v>
      </c>
      <c r="M125" s="23" t="s">
        <v>72</v>
      </c>
      <c r="N125" s="23" t="s">
        <v>358</v>
      </c>
      <c r="O125" s="23" t="s">
        <v>358</v>
      </c>
      <c r="P125" s="24" t="s">
        <v>359</v>
      </c>
      <c r="Q125" s="23" t="s">
        <v>366</v>
      </c>
      <c r="R125" s="23" t="s">
        <v>366</v>
      </c>
      <c r="S125" s="24"/>
      <c r="T125" s="23" t="n">
        <v>3</v>
      </c>
      <c r="U125" s="22" t="s">
        <v>77</v>
      </c>
      <c r="V125" s="23" t="s">
        <v>85</v>
      </c>
      <c r="Y125" s="23" t="s">
        <v>80</v>
      </c>
      <c r="AF125" s="23" t="n">
        <f aca="false">COUNTIF($AE$2:$AE$218,AE125)</f>
        <v>0</v>
      </c>
      <c r="AH125" s="24"/>
      <c r="AY125" s="22"/>
      <c r="AZ125" s="22"/>
      <c r="BA125" s="22"/>
      <c r="BB125" s="22"/>
      <c r="BC125" s="22"/>
      <c r="BD125" s="22"/>
      <c r="BE125" s="22"/>
      <c r="BF125" s="22"/>
      <c r="BG125" s="0"/>
      <c r="BH125" s="0"/>
    </row>
    <row r="126" s="23" customFormat="true" ht="24" hidden="false" customHeight="true" outlineLevel="0" collapsed="false">
      <c r="A126" s="23" t="s">
        <v>50</v>
      </c>
      <c r="B126" s="23" t="s">
        <v>50</v>
      </c>
      <c r="C126" s="24" t="s">
        <v>51</v>
      </c>
      <c r="D126" s="24"/>
      <c r="E126" s="23" t="s">
        <v>55</v>
      </c>
      <c r="F126" s="23" t="s">
        <v>55</v>
      </c>
      <c r="G126" s="24" t="s">
        <v>56</v>
      </c>
      <c r="H126" s="23" t="s">
        <v>52</v>
      </c>
      <c r="I126" s="23" t="s">
        <v>69</v>
      </c>
      <c r="J126" s="23" t="s">
        <v>52</v>
      </c>
      <c r="K126" s="23" t="s">
        <v>70</v>
      </c>
      <c r="L126" s="23" t="s">
        <v>71</v>
      </c>
      <c r="M126" s="23" t="s">
        <v>72</v>
      </c>
      <c r="N126" s="23" t="s">
        <v>358</v>
      </c>
      <c r="O126" s="23" t="s">
        <v>358</v>
      </c>
      <c r="P126" s="24" t="s">
        <v>359</v>
      </c>
      <c r="Q126" s="23" t="s">
        <v>367</v>
      </c>
      <c r="R126" s="23" t="s">
        <v>367</v>
      </c>
      <c r="S126" s="24"/>
      <c r="T126" s="23" t="n">
        <v>4</v>
      </c>
      <c r="U126" s="22" t="s">
        <v>77</v>
      </c>
      <c r="V126" s="23" t="s">
        <v>85</v>
      </c>
      <c r="Y126" s="23" t="s">
        <v>80</v>
      </c>
      <c r="AF126" s="23" t="n">
        <f aca="false">COUNTIF($AE$2:$AE$218,AE126)</f>
        <v>0</v>
      </c>
      <c r="AH126" s="24"/>
      <c r="AY126" s="22"/>
      <c r="AZ126" s="22"/>
      <c r="BA126" s="22"/>
      <c r="BB126" s="22"/>
      <c r="BC126" s="22"/>
      <c r="BD126" s="22"/>
      <c r="BE126" s="22"/>
      <c r="BF126" s="22"/>
      <c r="BG126" s="0"/>
      <c r="BH126" s="0"/>
    </row>
    <row r="127" s="20" customFormat="true" ht="24" hidden="false" customHeight="true" outlineLevel="0" collapsed="false">
      <c r="A127" s="20" t="s">
        <v>50</v>
      </c>
      <c r="B127" s="20" t="s">
        <v>50</v>
      </c>
      <c r="C127" s="21" t="s">
        <v>51</v>
      </c>
      <c r="D127" s="21"/>
      <c r="E127" s="20" t="s">
        <v>55</v>
      </c>
      <c r="F127" s="20" t="s">
        <v>55</v>
      </c>
      <c r="G127" s="21" t="s">
        <v>56</v>
      </c>
      <c r="H127" s="20" t="s">
        <v>52</v>
      </c>
      <c r="I127" s="23" t="s">
        <v>69</v>
      </c>
      <c r="J127" s="23" t="s">
        <v>52</v>
      </c>
      <c r="K127" s="23" t="s">
        <v>70</v>
      </c>
      <c r="L127" s="20" t="s">
        <v>71</v>
      </c>
      <c r="M127" s="20" t="s">
        <v>72</v>
      </c>
      <c r="N127" s="20" t="s">
        <v>368</v>
      </c>
      <c r="O127" s="20" t="s">
        <v>368</v>
      </c>
      <c r="P127" s="21" t="s">
        <v>369</v>
      </c>
      <c r="Q127" s="20" t="s">
        <v>370</v>
      </c>
      <c r="R127" s="20" t="s">
        <v>370</v>
      </c>
      <c r="S127" s="21" t="s">
        <v>76</v>
      </c>
      <c r="T127" s="20" t="n">
        <v>0</v>
      </c>
      <c r="U127" s="22" t="s">
        <v>77</v>
      </c>
      <c r="V127" s="20" t="s">
        <v>78</v>
      </c>
      <c r="Y127" s="20" t="s">
        <v>79</v>
      </c>
      <c r="Z127" s="20" t="s">
        <v>80</v>
      </c>
      <c r="AA127" s="20" t="s">
        <v>81</v>
      </c>
      <c r="AB127" s="20" t="s">
        <v>82</v>
      </c>
      <c r="AD127" s="20" t="str">
        <f aca="false">Q127</f>
        <v>PaymentRegulatoryReportingIdentifier</v>
      </c>
      <c r="AF127" s="20" t="n">
        <f aca="false">COUNTIF($AE$2:$AE$218,AE127)</f>
        <v>0</v>
      </c>
      <c r="AH127" s="21"/>
      <c r="AY127" s="22"/>
      <c r="AZ127" s="22"/>
      <c r="BA127" s="22"/>
      <c r="BB127" s="22"/>
      <c r="BC127" s="22"/>
      <c r="BD127" s="22"/>
      <c r="BE127" s="22"/>
      <c r="BF127" s="22"/>
      <c r="BG127" s="0"/>
      <c r="BH127" s="0"/>
    </row>
    <row r="128" s="20" customFormat="true" ht="24" hidden="false" customHeight="true" outlineLevel="0" collapsed="false">
      <c r="A128" s="20" t="s">
        <v>50</v>
      </c>
      <c r="B128" s="20" t="s">
        <v>50</v>
      </c>
      <c r="C128" s="21" t="s">
        <v>51</v>
      </c>
      <c r="D128" s="21"/>
      <c r="E128" s="20" t="s">
        <v>55</v>
      </c>
      <c r="F128" s="20" t="s">
        <v>55</v>
      </c>
      <c r="G128" s="21" t="s">
        <v>56</v>
      </c>
      <c r="H128" s="20" t="s">
        <v>52</v>
      </c>
      <c r="I128" s="23" t="s">
        <v>69</v>
      </c>
      <c r="J128" s="23" t="s">
        <v>52</v>
      </c>
      <c r="K128" s="23" t="s">
        <v>70</v>
      </c>
      <c r="L128" s="20" t="s">
        <v>71</v>
      </c>
      <c r="M128" s="20" t="s">
        <v>72</v>
      </c>
      <c r="N128" s="20" t="s">
        <v>368</v>
      </c>
      <c r="O128" s="20" t="s">
        <v>368</v>
      </c>
      <c r="P128" s="21" t="s">
        <v>369</v>
      </c>
      <c r="Q128" s="20" t="s">
        <v>180</v>
      </c>
      <c r="R128" s="20" t="s">
        <v>180</v>
      </c>
      <c r="S128" s="21" t="s">
        <v>371</v>
      </c>
      <c r="T128" s="20" t="n">
        <v>1</v>
      </c>
      <c r="U128" s="22" t="s">
        <v>77</v>
      </c>
      <c r="V128" s="20" t="s">
        <v>78</v>
      </c>
      <c r="Y128" s="20" t="s">
        <v>79</v>
      </c>
      <c r="AA128" s="23" t="s">
        <v>181</v>
      </c>
      <c r="AB128" s="23" t="s">
        <v>181</v>
      </c>
      <c r="AD128" s="20" t="str">
        <f aca="false">Q128</f>
        <v>PaymentInstructionInternalIdentifier</v>
      </c>
      <c r="AE128" s="20" t="s">
        <v>372</v>
      </c>
      <c r="AF128" s="20" t="n">
        <f aca="false">COUNTIF($AE$2:$AE$218,AE128)</f>
        <v>1</v>
      </c>
      <c r="AG128" s="20" t="s">
        <v>373</v>
      </c>
      <c r="AH128" s="21"/>
      <c r="AI128" s="20" t="s">
        <v>72</v>
      </c>
      <c r="AJ128" s="25" t="s">
        <v>368</v>
      </c>
      <c r="AK128" s="25" t="s">
        <v>135</v>
      </c>
      <c r="AL128" s="25" t="s">
        <v>135</v>
      </c>
      <c r="AM128" s="25" t="str">
        <f aca="false">AA128</f>
        <v>FK-PaymentInstruction</v>
      </c>
      <c r="AN128" s="20" t="s">
        <v>180</v>
      </c>
      <c r="AP128" s="20" t="s">
        <v>172</v>
      </c>
      <c r="AQ128" s="20" t="s">
        <v>137</v>
      </c>
      <c r="AR128" s="25" t="s">
        <v>183</v>
      </c>
      <c r="AS128" s="25" t="s">
        <v>138</v>
      </c>
      <c r="AT128" s="25" t="s">
        <v>138</v>
      </c>
      <c r="AU128" s="25" t="s">
        <v>81</v>
      </c>
      <c r="AV128" s="20" t="s">
        <v>180</v>
      </c>
      <c r="AX128" s="20" t="s">
        <v>136</v>
      </c>
      <c r="AY128" s="22"/>
      <c r="AZ128" s="22"/>
      <c r="BA128" s="22"/>
      <c r="BB128" s="22"/>
      <c r="BC128" s="22"/>
      <c r="BD128" s="22"/>
      <c r="BE128" s="22"/>
      <c r="BF128" s="22"/>
      <c r="BG128" s="0"/>
      <c r="BH128" s="0"/>
    </row>
    <row r="129" s="20" customFormat="true" ht="24" hidden="false" customHeight="true" outlineLevel="0" collapsed="false">
      <c r="A129" s="20" t="s">
        <v>50</v>
      </c>
      <c r="B129" s="20" t="s">
        <v>50</v>
      </c>
      <c r="C129" s="21" t="s">
        <v>51</v>
      </c>
      <c r="D129" s="21"/>
      <c r="E129" s="20" t="s">
        <v>55</v>
      </c>
      <c r="F129" s="20" t="s">
        <v>55</v>
      </c>
      <c r="G129" s="21" t="s">
        <v>56</v>
      </c>
      <c r="H129" s="20" t="s">
        <v>52</v>
      </c>
      <c r="I129" s="23" t="s">
        <v>69</v>
      </c>
      <c r="J129" s="23" t="s">
        <v>52</v>
      </c>
      <c r="K129" s="23" t="s">
        <v>70</v>
      </c>
      <c r="L129" s="20" t="s">
        <v>71</v>
      </c>
      <c r="M129" s="20" t="s">
        <v>72</v>
      </c>
      <c r="N129" s="20" t="s">
        <v>368</v>
      </c>
      <c r="O129" s="20" t="s">
        <v>368</v>
      </c>
      <c r="P129" s="21" t="s">
        <v>369</v>
      </c>
      <c r="Q129" s="20" t="s">
        <v>374</v>
      </c>
      <c r="R129" s="20" t="s">
        <v>374</v>
      </c>
      <c r="S129" s="21" t="s">
        <v>375</v>
      </c>
      <c r="T129" s="20" t="n">
        <v>2</v>
      </c>
      <c r="U129" s="22" t="s">
        <v>77</v>
      </c>
      <c r="V129" s="20" t="s">
        <v>85</v>
      </c>
      <c r="W129" s="21" t="s">
        <v>376</v>
      </c>
      <c r="X129" s="21"/>
      <c r="Y129" s="20" t="s">
        <v>80</v>
      </c>
      <c r="AF129" s="20" t="n">
        <f aca="false">COUNTIF($AE$2:$AE$218,AE129)</f>
        <v>0</v>
      </c>
      <c r="AH129" s="21"/>
      <c r="AY129" s="22"/>
      <c r="AZ129" s="22"/>
      <c r="BA129" s="22"/>
      <c r="BB129" s="22"/>
      <c r="BC129" s="22"/>
      <c r="BD129" s="22"/>
      <c r="BE129" s="22"/>
      <c r="BF129" s="22"/>
      <c r="BG129" s="0"/>
      <c r="BH129" s="0"/>
    </row>
    <row r="130" s="20" customFormat="true" ht="24" hidden="false" customHeight="true" outlineLevel="0" collapsed="false">
      <c r="A130" s="20" t="s">
        <v>50</v>
      </c>
      <c r="B130" s="20" t="s">
        <v>50</v>
      </c>
      <c r="C130" s="21" t="s">
        <v>51</v>
      </c>
      <c r="D130" s="21"/>
      <c r="E130" s="20" t="s">
        <v>55</v>
      </c>
      <c r="F130" s="20" t="s">
        <v>55</v>
      </c>
      <c r="G130" s="21" t="s">
        <v>56</v>
      </c>
      <c r="H130" s="20" t="s">
        <v>52</v>
      </c>
      <c r="I130" s="23" t="s">
        <v>69</v>
      </c>
      <c r="J130" s="23" t="s">
        <v>52</v>
      </c>
      <c r="K130" s="23" t="s">
        <v>70</v>
      </c>
      <c r="L130" s="20" t="s">
        <v>71</v>
      </c>
      <c r="M130" s="20" t="s">
        <v>72</v>
      </c>
      <c r="N130" s="20" t="s">
        <v>368</v>
      </c>
      <c r="O130" s="20" t="s">
        <v>368</v>
      </c>
      <c r="P130" s="21" t="s">
        <v>369</v>
      </c>
      <c r="Q130" s="20" t="s">
        <v>377</v>
      </c>
      <c r="R130" s="20" t="s">
        <v>377</v>
      </c>
      <c r="S130" s="21" t="s">
        <v>378</v>
      </c>
      <c r="T130" s="20" t="n">
        <v>3</v>
      </c>
      <c r="U130" s="22" t="s">
        <v>77</v>
      </c>
      <c r="V130" s="20" t="s">
        <v>85</v>
      </c>
      <c r="W130" s="21" t="s">
        <v>379</v>
      </c>
      <c r="X130" s="21"/>
      <c r="Y130" s="20" t="s">
        <v>80</v>
      </c>
      <c r="AF130" s="20" t="n">
        <f aca="false">COUNTIF($AE$2:$AE$218,AE130)</f>
        <v>0</v>
      </c>
      <c r="AH130" s="21"/>
      <c r="AY130" s="22"/>
      <c r="AZ130" s="22"/>
      <c r="BA130" s="22"/>
      <c r="BB130" s="22"/>
      <c r="BC130" s="22"/>
      <c r="BD130" s="22"/>
      <c r="BE130" s="22"/>
      <c r="BF130" s="22"/>
      <c r="BG130" s="0"/>
      <c r="BH130" s="0"/>
    </row>
    <row r="131" s="20" customFormat="true" ht="24" hidden="false" customHeight="true" outlineLevel="0" collapsed="false">
      <c r="A131" s="20" t="s">
        <v>50</v>
      </c>
      <c r="B131" s="20" t="s">
        <v>50</v>
      </c>
      <c r="C131" s="21" t="s">
        <v>51</v>
      </c>
      <c r="D131" s="21"/>
      <c r="E131" s="20" t="s">
        <v>55</v>
      </c>
      <c r="F131" s="20" t="s">
        <v>55</v>
      </c>
      <c r="G131" s="21" t="s">
        <v>56</v>
      </c>
      <c r="H131" s="20" t="s">
        <v>52</v>
      </c>
      <c r="I131" s="23" t="s">
        <v>69</v>
      </c>
      <c r="J131" s="23" t="s">
        <v>52</v>
      </c>
      <c r="K131" s="23" t="s">
        <v>70</v>
      </c>
      <c r="L131" s="20" t="s">
        <v>71</v>
      </c>
      <c r="M131" s="20" t="s">
        <v>72</v>
      </c>
      <c r="N131" s="20" t="s">
        <v>368</v>
      </c>
      <c r="O131" s="20" t="s">
        <v>368</v>
      </c>
      <c r="P131" s="21" t="s">
        <v>369</v>
      </c>
      <c r="Q131" s="20" t="s">
        <v>380</v>
      </c>
      <c r="R131" s="20" t="s">
        <v>380</v>
      </c>
      <c r="S131" s="21" t="s">
        <v>381</v>
      </c>
      <c r="T131" s="20" t="n">
        <v>4</v>
      </c>
      <c r="U131" s="22" t="s">
        <v>77</v>
      </c>
      <c r="V131" s="20" t="s">
        <v>85</v>
      </c>
      <c r="W131" s="21" t="s">
        <v>382</v>
      </c>
      <c r="X131" s="21"/>
      <c r="Y131" s="20" t="s">
        <v>80</v>
      </c>
      <c r="AF131" s="20" t="n">
        <f aca="false">COUNTIF($AE$2:$AE$218,AE131)</f>
        <v>0</v>
      </c>
      <c r="AH131" s="21"/>
      <c r="AY131" s="22"/>
      <c r="AZ131" s="22"/>
      <c r="BA131" s="22"/>
      <c r="BB131" s="22"/>
      <c r="BC131" s="22"/>
      <c r="BD131" s="22"/>
      <c r="BE131" s="22"/>
      <c r="BF131" s="22"/>
      <c r="BG131" s="0"/>
      <c r="BH131" s="0"/>
    </row>
    <row r="132" s="20" customFormat="true" ht="24" hidden="false" customHeight="true" outlineLevel="0" collapsed="false">
      <c r="A132" s="20" t="s">
        <v>50</v>
      </c>
      <c r="B132" s="20" t="s">
        <v>50</v>
      </c>
      <c r="C132" s="21" t="s">
        <v>51</v>
      </c>
      <c r="D132" s="21"/>
      <c r="E132" s="20" t="s">
        <v>55</v>
      </c>
      <c r="F132" s="20" t="s">
        <v>55</v>
      </c>
      <c r="G132" s="21" t="s">
        <v>56</v>
      </c>
      <c r="H132" s="20" t="s">
        <v>52</v>
      </c>
      <c r="I132" s="23" t="s">
        <v>69</v>
      </c>
      <c r="J132" s="23" t="s">
        <v>52</v>
      </c>
      <c r="K132" s="23" t="s">
        <v>70</v>
      </c>
      <c r="L132" s="20" t="s">
        <v>71</v>
      </c>
      <c r="M132" s="20" t="s">
        <v>72</v>
      </c>
      <c r="N132" s="20" t="s">
        <v>368</v>
      </c>
      <c r="O132" s="20" t="s">
        <v>368</v>
      </c>
      <c r="P132" s="21" t="s">
        <v>369</v>
      </c>
      <c r="Q132" s="20" t="s">
        <v>383</v>
      </c>
      <c r="R132" s="20" t="s">
        <v>383</v>
      </c>
      <c r="S132" s="21" t="s">
        <v>384</v>
      </c>
      <c r="T132" s="20" t="n">
        <v>5</v>
      </c>
      <c r="U132" s="22" t="s">
        <v>77</v>
      </c>
      <c r="V132" s="20" t="s">
        <v>85</v>
      </c>
      <c r="W132" s="21" t="s">
        <v>385</v>
      </c>
      <c r="X132" s="21"/>
      <c r="Y132" s="20" t="s">
        <v>80</v>
      </c>
      <c r="AF132" s="20" t="n">
        <f aca="false">COUNTIF($AE$2:$AE$218,AE132)</f>
        <v>0</v>
      </c>
      <c r="AH132" s="21"/>
      <c r="AY132" s="22"/>
      <c r="AZ132" s="22"/>
      <c r="BA132" s="22"/>
      <c r="BB132" s="22"/>
      <c r="BC132" s="22"/>
      <c r="BD132" s="22"/>
      <c r="BE132" s="22"/>
      <c r="BF132" s="22"/>
      <c r="BG132" s="0"/>
      <c r="BH132" s="0"/>
    </row>
    <row r="133" s="23" customFormat="true" ht="24" hidden="false" customHeight="true" outlineLevel="0" collapsed="false">
      <c r="A133" s="23" t="s">
        <v>50</v>
      </c>
      <c r="B133" s="23" t="s">
        <v>50</v>
      </c>
      <c r="C133" s="24" t="s">
        <v>51</v>
      </c>
      <c r="D133" s="24"/>
      <c r="E133" s="23" t="s">
        <v>55</v>
      </c>
      <c r="F133" s="23" t="s">
        <v>55</v>
      </c>
      <c r="G133" s="24" t="s">
        <v>56</v>
      </c>
      <c r="H133" s="23" t="s">
        <v>52</v>
      </c>
      <c r="I133" s="23" t="s">
        <v>69</v>
      </c>
      <c r="J133" s="23" t="s">
        <v>52</v>
      </c>
      <c r="K133" s="23" t="s">
        <v>70</v>
      </c>
      <c r="L133" s="23" t="s">
        <v>71</v>
      </c>
      <c r="M133" s="23" t="s">
        <v>72</v>
      </c>
      <c r="N133" s="23" t="s">
        <v>386</v>
      </c>
      <c r="O133" s="23" t="s">
        <v>386</v>
      </c>
      <c r="P133" s="24" t="s">
        <v>387</v>
      </c>
      <c r="Q133" s="23" t="s">
        <v>388</v>
      </c>
      <c r="R133" s="23" t="s">
        <v>388</v>
      </c>
      <c r="S133" s="24" t="s">
        <v>76</v>
      </c>
      <c r="T133" s="23" t="n">
        <v>0</v>
      </c>
      <c r="U133" s="22" t="s">
        <v>77</v>
      </c>
      <c r="V133" s="23" t="s">
        <v>78</v>
      </c>
      <c r="Y133" s="23" t="s">
        <v>79</v>
      </c>
      <c r="Z133" s="23" t="s">
        <v>80</v>
      </c>
      <c r="AA133" s="23" t="s">
        <v>81</v>
      </c>
      <c r="AB133" s="23" t="s">
        <v>82</v>
      </c>
      <c r="AD133" s="23" t="str">
        <f aca="false">Q133</f>
        <v>PaymentTaxIdentifier</v>
      </c>
      <c r="AF133" s="23" t="n">
        <f aca="false">COUNTIF($AE$2:$AE$218,AE133)</f>
        <v>0</v>
      </c>
      <c r="AH133" s="24"/>
      <c r="AY133" s="22"/>
      <c r="AZ133" s="22"/>
      <c r="BA133" s="22"/>
      <c r="BB133" s="22"/>
      <c r="BC133" s="22"/>
      <c r="BD133" s="22"/>
      <c r="BE133" s="22"/>
      <c r="BF133" s="22"/>
      <c r="BG133" s="0"/>
      <c r="BH133" s="0"/>
    </row>
    <row r="134" s="23" customFormat="true" ht="24" hidden="false" customHeight="true" outlineLevel="0" collapsed="false">
      <c r="A134" s="23" t="s">
        <v>50</v>
      </c>
      <c r="B134" s="23" t="s">
        <v>50</v>
      </c>
      <c r="C134" s="24" t="s">
        <v>51</v>
      </c>
      <c r="D134" s="24"/>
      <c r="E134" s="23" t="s">
        <v>55</v>
      </c>
      <c r="F134" s="23" t="s">
        <v>55</v>
      </c>
      <c r="G134" s="24" t="s">
        <v>56</v>
      </c>
      <c r="H134" s="23" t="s">
        <v>52</v>
      </c>
      <c r="I134" s="23" t="s">
        <v>69</v>
      </c>
      <c r="J134" s="23" t="s">
        <v>52</v>
      </c>
      <c r="K134" s="23" t="s">
        <v>70</v>
      </c>
      <c r="L134" s="23" t="s">
        <v>71</v>
      </c>
      <c r="M134" s="23" t="s">
        <v>72</v>
      </c>
      <c r="N134" s="23" t="s">
        <v>386</v>
      </c>
      <c r="O134" s="23" t="s">
        <v>386</v>
      </c>
      <c r="P134" s="24" t="s">
        <v>387</v>
      </c>
      <c r="Q134" s="23" t="s">
        <v>180</v>
      </c>
      <c r="R134" s="23" t="s">
        <v>180</v>
      </c>
      <c r="S134" s="24" t="s">
        <v>389</v>
      </c>
      <c r="T134" s="23" t="n">
        <v>1</v>
      </c>
      <c r="U134" s="22" t="s">
        <v>77</v>
      </c>
      <c r="V134" s="23" t="s">
        <v>78</v>
      </c>
      <c r="Y134" s="23" t="s">
        <v>79</v>
      </c>
      <c r="AA134" s="23" t="s">
        <v>181</v>
      </c>
      <c r="AB134" s="23" t="s">
        <v>181</v>
      </c>
      <c r="AD134" s="20" t="str">
        <f aca="false">Q134</f>
        <v>PaymentInstructionInternalIdentifier</v>
      </c>
      <c r="AE134" s="23" t="s">
        <v>390</v>
      </c>
      <c r="AF134" s="23" t="n">
        <f aca="false">COUNTIF($AE$2:$AE$218,AE134)</f>
        <v>1</v>
      </c>
      <c r="AG134" s="23" t="s">
        <v>391</v>
      </c>
      <c r="AH134" s="24"/>
      <c r="AI134" s="23" t="s">
        <v>72</v>
      </c>
      <c r="AJ134" s="26" t="s">
        <v>386</v>
      </c>
      <c r="AK134" s="25" t="s">
        <v>135</v>
      </c>
      <c r="AL134" s="25" t="s">
        <v>135</v>
      </c>
      <c r="AM134" s="25" t="str">
        <f aca="false">AA134</f>
        <v>FK-PaymentInstruction</v>
      </c>
      <c r="AN134" s="23" t="s">
        <v>180</v>
      </c>
      <c r="AP134" s="23" t="s">
        <v>172</v>
      </c>
      <c r="AQ134" s="20" t="s">
        <v>137</v>
      </c>
      <c r="AR134" s="26" t="s">
        <v>183</v>
      </c>
      <c r="AS134" s="25" t="s">
        <v>138</v>
      </c>
      <c r="AT134" s="25" t="s">
        <v>138</v>
      </c>
      <c r="AU134" s="25" t="s">
        <v>81</v>
      </c>
      <c r="AV134" s="23" t="s">
        <v>180</v>
      </c>
      <c r="AX134" s="23" t="s">
        <v>136</v>
      </c>
      <c r="AY134" s="22"/>
      <c r="AZ134" s="22"/>
      <c r="BA134" s="22"/>
      <c r="BB134" s="22"/>
      <c r="BC134" s="22"/>
      <c r="BD134" s="22"/>
      <c r="BE134" s="22"/>
      <c r="BF134" s="22"/>
      <c r="BG134" s="0"/>
      <c r="BH134" s="0"/>
    </row>
    <row r="135" s="23" customFormat="true" ht="24" hidden="false" customHeight="true" outlineLevel="0" collapsed="false">
      <c r="A135" s="23" t="s">
        <v>50</v>
      </c>
      <c r="B135" s="23" t="s">
        <v>50</v>
      </c>
      <c r="C135" s="24" t="s">
        <v>51</v>
      </c>
      <c r="D135" s="24"/>
      <c r="E135" s="23" t="s">
        <v>55</v>
      </c>
      <c r="F135" s="23" t="s">
        <v>55</v>
      </c>
      <c r="G135" s="24" t="s">
        <v>56</v>
      </c>
      <c r="H135" s="23" t="s">
        <v>52</v>
      </c>
      <c r="I135" s="23" t="s">
        <v>69</v>
      </c>
      <c r="J135" s="23" t="s">
        <v>52</v>
      </c>
      <c r="K135" s="23" t="s">
        <v>70</v>
      </c>
      <c r="L135" s="23" t="s">
        <v>71</v>
      </c>
      <c r="M135" s="23" t="s">
        <v>72</v>
      </c>
      <c r="N135" s="23" t="s">
        <v>386</v>
      </c>
      <c r="O135" s="23" t="s">
        <v>386</v>
      </c>
      <c r="P135" s="24" t="s">
        <v>387</v>
      </c>
      <c r="Q135" s="23" t="s">
        <v>392</v>
      </c>
      <c r="R135" s="23" t="s">
        <v>392</v>
      </c>
      <c r="S135" s="24" t="s">
        <v>389</v>
      </c>
      <c r="T135" s="23" t="n">
        <v>2</v>
      </c>
      <c r="U135" s="22" t="s">
        <v>77</v>
      </c>
      <c r="V135" s="23" t="s">
        <v>85</v>
      </c>
      <c r="Y135" s="23" t="s">
        <v>80</v>
      </c>
      <c r="AF135" s="23" t="n">
        <f aca="false">COUNTIF($AE$2:$AE$218,AE135)</f>
        <v>0</v>
      </c>
      <c r="AH135" s="24"/>
      <c r="AY135" s="22"/>
      <c r="AZ135" s="22"/>
      <c r="BA135" s="22"/>
      <c r="BB135" s="22"/>
      <c r="BC135" s="22"/>
      <c r="BD135" s="22"/>
      <c r="BE135" s="22"/>
      <c r="BF135" s="22"/>
      <c r="BG135" s="0"/>
      <c r="BH135" s="0"/>
    </row>
    <row r="136" s="20" customFormat="true" ht="24" hidden="false" customHeight="true" outlineLevel="0" collapsed="false">
      <c r="A136" s="20" t="s">
        <v>50</v>
      </c>
      <c r="B136" s="20" t="s">
        <v>50</v>
      </c>
      <c r="C136" s="21" t="s">
        <v>51</v>
      </c>
      <c r="D136" s="21"/>
      <c r="E136" s="20" t="s">
        <v>55</v>
      </c>
      <c r="F136" s="20" t="s">
        <v>55</v>
      </c>
      <c r="G136" s="21" t="s">
        <v>56</v>
      </c>
      <c r="H136" s="20" t="s">
        <v>52</v>
      </c>
      <c r="I136" s="23" t="s">
        <v>69</v>
      </c>
      <c r="J136" s="23" t="s">
        <v>52</v>
      </c>
      <c r="K136" s="23" t="s">
        <v>70</v>
      </c>
      <c r="L136" s="20" t="s">
        <v>71</v>
      </c>
      <c r="M136" s="20" t="s">
        <v>72</v>
      </c>
      <c r="N136" s="20" t="s">
        <v>393</v>
      </c>
      <c r="O136" s="20" t="s">
        <v>393</v>
      </c>
      <c r="P136" s="21" t="s">
        <v>394</v>
      </c>
      <c r="Q136" s="20" t="s">
        <v>395</v>
      </c>
      <c r="R136" s="20" t="s">
        <v>395</v>
      </c>
      <c r="S136" s="21" t="s">
        <v>76</v>
      </c>
      <c r="T136" s="20" t="n">
        <v>0</v>
      </c>
      <c r="U136" s="22" t="s">
        <v>77</v>
      </c>
      <c r="V136" s="20" t="s">
        <v>78</v>
      </c>
      <c r="Y136" s="20" t="s">
        <v>79</v>
      </c>
      <c r="Z136" s="20" t="s">
        <v>80</v>
      </c>
      <c r="AA136" s="20" t="s">
        <v>81</v>
      </c>
      <c r="AB136" s="20" t="s">
        <v>82</v>
      </c>
      <c r="AD136" s="20" t="str">
        <f aca="false">Q136</f>
        <v>RemittanceInformationIdentifier</v>
      </c>
      <c r="AF136" s="20" t="n">
        <f aca="false">COUNTIF($AE$2:$AE$218,AE136)</f>
        <v>0</v>
      </c>
      <c r="AH136" s="21"/>
      <c r="AY136" s="22"/>
      <c r="AZ136" s="22"/>
      <c r="BA136" s="22"/>
      <c r="BB136" s="22"/>
      <c r="BC136" s="22"/>
      <c r="BD136" s="22"/>
      <c r="BE136" s="22"/>
      <c r="BF136" s="22"/>
      <c r="BG136" s="0"/>
      <c r="BH136" s="0"/>
    </row>
    <row r="137" s="20" customFormat="true" ht="24" hidden="false" customHeight="true" outlineLevel="0" collapsed="false">
      <c r="A137" s="20" t="s">
        <v>50</v>
      </c>
      <c r="B137" s="20" t="s">
        <v>50</v>
      </c>
      <c r="C137" s="21" t="s">
        <v>51</v>
      </c>
      <c r="D137" s="21"/>
      <c r="E137" s="20" t="s">
        <v>55</v>
      </c>
      <c r="F137" s="20" t="s">
        <v>55</v>
      </c>
      <c r="G137" s="21" t="s">
        <v>56</v>
      </c>
      <c r="H137" s="20" t="s">
        <v>52</v>
      </c>
      <c r="I137" s="23" t="s">
        <v>69</v>
      </c>
      <c r="J137" s="23" t="s">
        <v>52</v>
      </c>
      <c r="K137" s="23" t="s">
        <v>70</v>
      </c>
      <c r="L137" s="20" t="s">
        <v>71</v>
      </c>
      <c r="M137" s="20" t="s">
        <v>72</v>
      </c>
      <c r="N137" s="20" t="s">
        <v>393</v>
      </c>
      <c r="O137" s="20" t="s">
        <v>393</v>
      </c>
      <c r="P137" s="21" t="s">
        <v>394</v>
      </c>
      <c r="Q137" s="20" t="s">
        <v>180</v>
      </c>
      <c r="R137" s="21" t="s">
        <v>180</v>
      </c>
      <c r="S137" s="21" t="s">
        <v>371</v>
      </c>
      <c r="T137" s="20" t="n">
        <v>1</v>
      </c>
      <c r="U137" s="22" t="s">
        <v>77</v>
      </c>
      <c r="V137" s="20" t="s">
        <v>78</v>
      </c>
      <c r="Y137" s="20" t="s">
        <v>79</v>
      </c>
      <c r="AA137" s="23" t="s">
        <v>181</v>
      </c>
      <c r="AB137" s="23" t="s">
        <v>181</v>
      </c>
      <c r="AD137" s="20" t="str">
        <f aca="false">Q137</f>
        <v>PaymentInstructionInternalIdentifier</v>
      </c>
      <c r="AE137" s="20" t="s">
        <v>396</v>
      </c>
      <c r="AF137" s="20" t="n">
        <f aca="false">COUNTIF($AE$2:$AE$218,AE137)</f>
        <v>1</v>
      </c>
      <c r="AG137" s="20" t="s">
        <v>397</v>
      </c>
      <c r="AH137" s="21"/>
      <c r="AI137" s="20" t="s">
        <v>72</v>
      </c>
      <c r="AJ137" s="25" t="s">
        <v>393</v>
      </c>
      <c r="AK137" s="25" t="s">
        <v>135</v>
      </c>
      <c r="AL137" s="25" t="s">
        <v>135</v>
      </c>
      <c r="AM137" s="25" t="str">
        <f aca="false">AA137</f>
        <v>FK-PaymentInstruction</v>
      </c>
      <c r="AN137" s="20" t="s">
        <v>180</v>
      </c>
      <c r="AP137" s="20" t="s">
        <v>172</v>
      </c>
      <c r="AQ137" s="20" t="s">
        <v>137</v>
      </c>
      <c r="AR137" s="25" t="s">
        <v>183</v>
      </c>
      <c r="AS137" s="25" t="s">
        <v>138</v>
      </c>
      <c r="AT137" s="25" t="s">
        <v>138</v>
      </c>
      <c r="AU137" s="25" t="s">
        <v>81</v>
      </c>
      <c r="AV137" s="20" t="s">
        <v>180</v>
      </c>
      <c r="AX137" s="20" t="s">
        <v>136</v>
      </c>
      <c r="AY137" s="22"/>
      <c r="AZ137" s="22"/>
      <c r="BA137" s="22"/>
      <c r="BB137" s="22"/>
      <c r="BC137" s="22"/>
      <c r="BD137" s="22"/>
      <c r="BE137" s="22"/>
      <c r="BF137" s="22"/>
      <c r="BG137" s="0"/>
      <c r="BH137" s="0"/>
    </row>
    <row r="138" s="20" customFormat="true" ht="24.75" hidden="false" customHeight="true" outlineLevel="0" collapsed="false">
      <c r="A138" s="20" t="s">
        <v>50</v>
      </c>
      <c r="B138" s="20" t="s">
        <v>50</v>
      </c>
      <c r="C138" s="21" t="s">
        <v>51</v>
      </c>
      <c r="D138" s="21"/>
      <c r="E138" s="20" t="s">
        <v>55</v>
      </c>
      <c r="F138" s="20" t="s">
        <v>55</v>
      </c>
      <c r="G138" s="21" t="s">
        <v>56</v>
      </c>
      <c r="H138" s="20" t="s">
        <v>52</v>
      </c>
      <c r="I138" s="23" t="s">
        <v>69</v>
      </c>
      <c r="J138" s="23" t="s">
        <v>52</v>
      </c>
      <c r="K138" s="23" t="s">
        <v>70</v>
      </c>
      <c r="L138" s="20" t="s">
        <v>71</v>
      </c>
      <c r="M138" s="20" t="s">
        <v>72</v>
      </c>
      <c r="N138" s="20" t="s">
        <v>393</v>
      </c>
      <c r="O138" s="20" t="s">
        <v>393</v>
      </c>
      <c r="P138" s="21" t="s">
        <v>394</v>
      </c>
      <c r="Q138" s="20" t="s">
        <v>398</v>
      </c>
      <c r="R138" s="20" t="s">
        <v>398</v>
      </c>
      <c r="S138" s="21" t="s">
        <v>399</v>
      </c>
      <c r="T138" s="20" t="n">
        <v>2</v>
      </c>
      <c r="U138" s="22" t="s">
        <v>77</v>
      </c>
      <c r="V138" s="20" t="s">
        <v>85</v>
      </c>
      <c r="Y138" s="20" t="s">
        <v>80</v>
      </c>
      <c r="AF138" s="20" t="n">
        <f aca="false">COUNTIF($AE$2:$AE$218,AE138)</f>
        <v>0</v>
      </c>
      <c r="AH138" s="21"/>
      <c r="AY138" s="22"/>
      <c r="AZ138" s="22"/>
      <c r="BA138" s="22"/>
      <c r="BB138" s="22"/>
      <c r="BC138" s="22"/>
      <c r="BD138" s="22"/>
      <c r="BE138" s="22"/>
      <c r="BF138" s="22"/>
      <c r="BG138" s="0"/>
      <c r="BH138" s="0"/>
    </row>
    <row r="139" s="20" customFormat="true" ht="24.75" hidden="false" customHeight="true" outlineLevel="0" collapsed="false">
      <c r="A139" s="20" t="s">
        <v>50</v>
      </c>
      <c r="B139" s="20" t="s">
        <v>50</v>
      </c>
      <c r="C139" s="21" t="s">
        <v>51</v>
      </c>
      <c r="D139" s="21"/>
      <c r="E139" s="20" t="s">
        <v>55</v>
      </c>
      <c r="F139" s="20" t="s">
        <v>55</v>
      </c>
      <c r="G139" s="21" t="s">
        <v>56</v>
      </c>
      <c r="H139" s="20" t="s">
        <v>52</v>
      </c>
      <c r="I139" s="23" t="s">
        <v>69</v>
      </c>
      <c r="J139" s="23" t="s">
        <v>52</v>
      </c>
      <c r="K139" s="23" t="s">
        <v>70</v>
      </c>
      <c r="L139" s="20" t="s">
        <v>71</v>
      </c>
      <c r="M139" s="20" t="s">
        <v>72</v>
      </c>
      <c r="N139" s="20" t="s">
        <v>393</v>
      </c>
      <c r="O139" s="20" t="s">
        <v>393</v>
      </c>
      <c r="P139" s="21" t="s">
        <v>394</v>
      </c>
      <c r="Q139" s="20" t="s">
        <v>400</v>
      </c>
      <c r="R139" s="20" t="s">
        <v>400</v>
      </c>
      <c r="S139" s="21" t="s">
        <v>401</v>
      </c>
      <c r="T139" s="20" t="n">
        <v>3</v>
      </c>
      <c r="U139" s="22" t="s">
        <v>77</v>
      </c>
      <c r="V139" s="20" t="s">
        <v>85</v>
      </c>
      <c r="Y139" s="20" t="s">
        <v>80</v>
      </c>
      <c r="AF139" s="20" t="n">
        <f aca="false">COUNTIF($AE$2:$AE$218,AE139)</f>
        <v>0</v>
      </c>
      <c r="AH139" s="21"/>
      <c r="AY139" s="22"/>
      <c r="AZ139" s="22"/>
      <c r="BA139" s="22"/>
      <c r="BB139" s="22"/>
      <c r="BC139" s="22"/>
      <c r="BD139" s="22"/>
      <c r="BE139" s="22"/>
      <c r="BF139" s="22"/>
      <c r="BG139" s="0"/>
      <c r="BH139" s="0"/>
    </row>
    <row r="140" s="23" customFormat="true" ht="24" hidden="false" customHeight="true" outlineLevel="0" collapsed="false">
      <c r="A140" s="23" t="s">
        <v>50</v>
      </c>
      <c r="B140" s="23" t="s">
        <v>50</v>
      </c>
      <c r="C140" s="24" t="s">
        <v>51</v>
      </c>
      <c r="D140" s="24"/>
      <c r="E140" s="23" t="s">
        <v>55</v>
      </c>
      <c r="F140" s="23" t="s">
        <v>55</v>
      </c>
      <c r="G140" s="24" t="s">
        <v>56</v>
      </c>
      <c r="H140" s="23" t="s">
        <v>52</v>
      </c>
      <c r="I140" s="23" t="s">
        <v>69</v>
      </c>
      <c r="J140" s="23" t="s">
        <v>52</v>
      </c>
      <c r="K140" s="23" t="s">
        <v>70</v>
      </c>
      <c r="L140" s="23" t="s">
        <v>71</v>
      </c>
      <c r="M140" s="23" t="s">
        <v>72</v>
      </c>
      <c r="N140" s="23" t="s">
        <v>402</v>
      </c>
      <c r="O140" s="23" t="s">
        <v>402</v>
      </c>
      <c r="P140" s="24" t="s">
        <v>403</v>
      </c>
      <c r="Q140" s="23" t="s">
        <v>404</v>
      </c>
      <c r="R140" s="24" t="s">
        <v>404</v>
      </c>
      <c r="S140" s="24" t="s">
        <v>76</v>
      </c>
      <c r="T140" s="23" t="n">
        <v>0</v>
      </c>
      <c r="U140" s="22" t="s">
        <v>77</v>
      </c>
      <c r="V140" s="23" t="s">
        <v>78</v>
      </c>
      <c r="Y140" s="23" t="s">
        <v>79</v>
      </c>
      <c r="Z140" s="23" t="s">
        <v>80</v>
      </c>
      <c r="AA140" s="23" t="s">
        <v>81</v>
      </c>
      <c r="AB140" s="23" t="s">
        <v>82</v>
      </c>
      <c r="AD140" s="23" t="str">
        <f aca="false">Q140</f>
        <v>ReturnReasonIdentifier</v>
      </c>
      <c r="AF140" s="23" t="n">
        <f aca="false">COUNTIF($AE$2:$AE$218,AE140)</f>
        <v>0</v>
      </c>
      <c r="AH140" s="24"/>
      <c r="AY140" s="22"/>
      <c r="AZ140" s="22"/>
      <c r="BA140" s="22"/>
      <c r="BB140" s="22"/>
      <c r="BC140" s="22"/>
      <c r="BD140" s="22"/>
      <c r="BE140" s="22"/>
      <c r="BF140" s="22"/>
      <c r="BG140" s="0"/>
      <c r="BH140" s="0"/>
    </row>
    <row r="141" s="23" customFormat="true" ht="24" hidden="false" customHeight="true" outlineLevel="0" collapsed="false">
      <c r="A141" s="23" t="s">
        <v>50</v>
      </c>
      <c r="B141" s="23" t="s">
        <v>50</v>
      </c>
      <c r="C141" s="24" t="s">
        <v>51</v>
      </c>
      <c r="D141" s="24"/>
      <c r="E141" s="23" t="s">
        <v>55</v>
      </c>
      <c r="F141" s="23" t="s">
        <v>55</v>
      </c>
      <c r="G141" s="24" t="s">
        <v>56</v>
      </c>
      <c r="H141" s="23" t="s">
        <v>52</v>
      </c>
      <c r="I141" s="23" t="s">
        <v>69</v>
      </c>
      <c r="J141" s="23" t="s">
        <v>52</v>
      </c>
      <c r="K141" s="23" t="s">
        <v>70</v>
      </c>
      <c r="L141" s="23" t="s">
        <v>71</v>
      </c>
      <c r="M141" s="23" t="s">
        <v>72</v>
      </c>
      <c r="N141" s="23" t="s">
        <v>402</v>
      </c>
      <c r="O141" s="23" t="s">
        <v>402</v>
      </c>
      <c r="P141" s="24" t="s">
        <v>403</v>
      </c>
      <c r="Q141" s="23" t="s">
        <v>180</v>
      </c>
      <c r="R141" s="23" t="s">
        <v>180</v>
      </c>
      <c r="S141" s="24" t="s">
        <v>405</v>
      </c>
      <c r="T141" s="23" t="n">
        <v>1</v>
      </c>
      <c r="U141" s="22" t="s">
        <v>77</v>
      </c>
      <c r="V141" s="23" t="s">
        <v>78</v>
      </c>
      <c r="Y141" s="23" t="s">
        <v>79</v>
      </c>
      <c r="AA141" s="23" t="s">
        <v>181</v>
      </c>
      <c r="AB141" s="23" t="s">
        <v>181</v>
      </c>
      <c r="AD141" s="20" t="str">
        <f aca="false">Q141</f>
        <v>PaymentInstructionInternalIdentifier</v>
      </c>
      <c r="AE141" s="23" t="s">
        <v>406</v>
      </c>
      <c r="AF141" s="23" t="n">
        <f aca="false">COUNTIF($AE$2:$AE$218,AE141)</f>
        <v>1</v>
      </c>
      <c r="AG141" s="23" t="s">
        <v>407</v>
      </c>
      <c r="AH141" s="24"/>
      <c r="AI141" s="23" t="s">
        <v>72</v>
      </c>
      <c r="AJ141" s="26" t="s">
        <v>402</v>
      </c>
      <c r="AK141" s="25" t="s">
        <v>135</v>
      </c>
      <c r="AL141" s="25" t="s">
        <v>135</v>
      </c>
      <c r="AM141" s="25" t="str">
        <f aca="false">AA141</f>
        <v>FK-PaymentInstruction</v>
      </c>
      <c r="AN141" s="23" t="s">
        <v>180</v>
      </c>
      <c r="AP141" s="23" t="s">
        <v>136</v>
      </c>
      <c r="AQ141" s="20" t="s">
        <v>137</v>
      </c>
      <c r="AR141" s="26" t="s">
        <v>183</v>
      </c>
      <c r="AS141" s="25" t="s">
        <v>138</v>
      </c>
      <c r="AT141" s="25" t="s">
        <v>138</v>
      </c>
      <c r="AU141" s="25" t="s">
        <v>81</v>
      </c>
      <c r="AV141" s="23" t="s">
        <v>180</v>
      </c>
      <c r="AX141" s="23" t="s">
        <v>136</v>
      </c>
      <c r="AY141" s="22"/>
      <c r="AZ141" s="22"/>
      <c r="BA141" s="22"/>
      <c r="BB141" s="22"/>
      <c r="BC141" s="22"/>
      <c r="BD141" s="22"/>
      <c r="BE141" s="22"/>
      <c r="BF141" s="22"/>
      <c r="BG141" s="0"/>
      <c r="BH141" s="0"/>
    </row>
    <row r="142" s="23" customFormat="true" ht="24" hidden="false" customHeight="true" outlineLevel="0" collapsed="false">
      <c r="A142" s="23" t="s">
        <v>50</v>
      </c>
      <c r="B142" s="23" t="s">
        <v>50</v>
      </c>
      <c r="C142" s="24" t="s">
        <v>51</v>
      </c>
      <c r="D142" s="24"/>
      <c r="E142" s="23" t="s">
        <v>55</v>
      </c>
      <c r="F142" s="23" t="s">
        <v>55</v>
      </c>
      <c r="G142" s="24" t="s">
        <v>56</v>
      </c>
      <c r="H142" s="23" t="s">
        <v>52</v>
      </c>
      <c r="I142" s="23" t="s">
        <v>69</v>
      </c>
      <c r="J142" s="23" t="s">
        <v>52</v>
      </c>
      <c r="K142" s="23" t="s">
        <v>70</v>
      </c>
      <c r="L142" s="23" t="s">
        <v>71</v>
      </c>
      <c r="M142" s="23" t="s">
        <v>72</v>
      </c>
      <c r="N142" s="23" t="s">
        <v>402</v>
      </c>
      <c r="O142" s="23" t="s">
        <v>402</v>
      </c>
      <c r="P142" s="24" t="s">
        <v>403</v>
      </c>
      <c r="Q142" s="23" t="s">
        <v>130</v>
      </c>
      <c r="R142" s="24" t="s">
        <v>130</v>
      </c>
      <c r="S142" s="24" t="s">
        <v>408</v>
      </c>
      <c r="T142" s="23" t="n">
        <v>2</v>
      </c>
      <c r="U142" s="22" t="s">
        <v>77</v>
      </c>
      <c r="V142" s="23" t="s">
        <v>78</v>
      </c>
      <c r="Y142" s="23" t="s">
        <v>79</v>
      </c>
      <c r="AA142" s="23" t="s">
        <v>163</v>
      </c>
      <c r="AB142" s="23" t="s">
        <v>163</v>
      </c>
      <c r="AD142" s="20" t="str">
        <f aca="false">Q142</f>
        <v>PartyIdentificationInstanceID</v>
      </c>
      <c r="AE142" s="23" t="s">
        <v>409</v>
      </c>
      <c r="AF142" s="23" t="n">
        <f aca="false">COUNTIF($AE$2:$AE$218,AE142)</f>
        <v>1</v>
      </c>
      <c r="AG142" s="23" t="s">
        <v>410</v>
      </c>
      <c r="AH142" s="24"/>
      <c r="AI142" s="23" t="s">
        <v>72</v>
      </c>
      <c r="AJ142" s="26" t="s">
        <v>402</v>
      </c>
      <c r="AK142" s="25" t="s">
        <v>135</v>
      </c>
      <c r="AL142" s="25" t="s">
        <v>135</v>
      </c>
      <c r="AM142" s="25" t="str">
        <f aca="false">AA142</f>
        <v>FK-PartyIdentification</v>
      </c>
      <c r="AN142" s="23" t="s">
        <v>130</v>
      </c>
      <c r="AP142" s="23" t="s">
        <v>136</v>
      </c>
      <c r="AQ142" s="20" t="s">
        <v>137</v>
      </c>
      <c r="AR142" s="26" t="s">
        <v>128</v>
      </c>
      <c r="AS142" s="25" t="s">
        <v>138</v>
      </c>
      <c r="AT142" s="25" t="s">
        <v>138</v>
      </c>
      <c r="AU142" s="25" t="s">
        <v>81</v>
      </c>
      <c r="AV142" s="23" t="s">
        <v>130</v>
      </c>
      <c r="AX142" s="23" t="s">
        <v>136</v>
      </c>
      <c r="AY142" s="22"/>
      <c r="AZ142" s="22"/>
      <c r="BA142" s="22"/>
      <c r="BB142" s="22"/>
      <c r="BC142" s="22"/>
      <c r="BD142" s="22"/>
      <c r="BE142" s="22"/>
      <c r="BF142" s="22"/>
      <c r="BG142" s="0"/>
      <c r="BH142" s="0"/>
    </row>
    <row r="143" s="23" customFormat="true" ht="24" hidden="false" customHeight="true" outlineLevel="0" collapsed="false">
      <c r="A143" s="23" t="s">
        <v>50</v>
      </c>
      <c r="B143" s="23" t="s">
        <v>50</v>
      </c>
      <c r="C143" s="24" t="s">
        <v>51</v>
      </c>
      <c r="D143" s="24"/>
      <c r="E143" s="23" t="s">
        <v>55</v>
      </c>
      <c r="F143" s="23" t="s">
        <v>55</v>
      </c>
      <c r="G143" s="24" t="s">
        <v>56</v>
      </c>
      <c r="H143" s="23" t="s">
        <v>52</v>
      </c>
      <c r="I143" s="23" t="s">
        <v>69</v>
      </c>
      <c r="J143" s="23" t="s">
        <v>52</v>
      </c>
      <c r="K143" s="23" t="s">
        <v>70</v>
      </c>
      <c r="L143" s="23" t="s">
        <v>71</v>
      </c>
      <c r="M143" s="23" t="s">
        <v>72</v>
      </c>
      <c r="N143" s="23" t="s">
        <v>402</v>
      </c>
      <c r="O143" s="23" t="s">
        <v>402</v>
      </c>
      <c r="P143" s="24" t="s">
        <v>403</v>
      </c>
      <c r="Q143" s="23" t="s">
        <v>411</v>
      </c>
      <c r="R143" s="24" t="s">
        <v>411</v>
      </c>
      <c r="S143" s="24" t="s">
        <v>412</v>
      </c>
      <c r="T143" s="23" t="n">
        <v>3</v>
      </c>
      <c r="U143" s="22" t="s">
        <v>77</v>
      </c>
      <c r="V143" s="23" t="s">
        <v>85</v>
      </c>
      <c r="W143" s="23" t="s">
        <v>413</v>
      </c>
      <c r="Y143" s="23" t="s">
        <v>79</v>
      </c>
      <c r="AF143" s="23" t="n">
        <f aca="false">COUNTIF($AE$2:$AE$218,AE143)</f>
        <v>0</v>
      </c>
      <c r="AH143" s="24"/>
      <c r="AY143" s="22"/>
      <c r="AZ143" s="22"/>
      <c r="BA143" s="22"/>
      <c r="BB143" s="22"/>
      <c r="BC143" s="22"/>
      <c r="BD143" s="22"/>
      <c r="BE143" s="22"/>
      <c r="BF143" s="22"/>
      <c r="BG143" s="0"/>
      <c r="BH143" s="0"/>
    </row>
    <row r="144" s="23" customFormat="true" ht="24" hidden="false" customHeight="true" outlineLevel="0" collapsed="false">
      <c r="A144" s="23" t="s">
        <v>50</v>
      </c>
      <c r="B144" s="23" t="s">
        <v>50</v>
      </c>
      <c r="C144" s="24" t="s">
        <v>51</v>
      </c>
      <c r="D144" s="24"/>
      <c r="E144" s="23" t="s">
        <v>55</v>
      </c>
      <c r="F144" s="23" t="s">
        <v>55</v>
      </c>
      <c r="G144" s="24" t="s">
        <v>56</v>
      </c>
      <c r="H144" s="23" t="s">
        <v>52</v>
      </c>
      <c r="I144" s="23" t="s">
        <v>69</v>
      </c>
      <c r="J144" s="23" t="s">
        <v>52</v>
      </c>
      <c r="K144" s="23" t="s">
        <v>70</v>
      </c>
      <c r="L144" s="23" t="s">
        <v>71</v>
      </c>
      <c r="M144" s="23" t="s">
        <v>72</v>
      </c>
      <c r="N144" s="23" t="s">
        <v>402</v>
      </c>
      <c r="O144" s="23" t="s">
        <v>402</v>
      </c>
      <c r="P144" s="24" t="s">
        <v>403</v>
      </c>
      <c r="Q144" s="23" t="s">
        <v>414</v>
      </c>
      <c r="R144" s="24" t="s">
        <v>414</v>
      </c>
      <c r="S144" s="24" t="s">
        <v>415</v>
      </c>
      <c r="T144" s="23" t="n">
        <v>4</v>
      </c>
      <c r="U144" s="22" t="s">
        <v>77</v>
      </c>
      <c r="V144" s="23" t="s">
        <v>85</v>
      </c>
      <c r="W144" s="23" t="s">
        <v>416</v>
      </c>
      <c r="Y144" s="23" t="s">
        <v>80</v>
      </c>
      <c r="AF144" s="23" t="n">
        <f aca="false">COUNTIF($AE$2:$AE$218,AE144)</f>
        <v>0</v>
      </c>
      <c r="AH144" s="24"/>
      <c r="AY144" s="22"/>
      <c r="AZ144" s="22"/>
      <c r="BA144" s="22"/>
      <c r="BB144" s="22"/>
      <c r="BC144" s="22"/>
      <c r="BD144" s="22"/>
      <c r="BE144" s="22"/>
      <c r="BF144" s="22"/>
      <c r="BG144" s="0"/>
      <c r="BH144" s="0"/>
    </row>
    <row r="145" s="27" customFormat="true" ht="24" hidden="false" customHeight="true" outlineLevel="0" collapsed="false">
      <c r="A145" s="27" t="s">
        <v>50</v>
      </c>
      <c r="B145" s="27" t="s">
        <v>50</v>
      </c>
      <c r="C145" s="3" t="s">
        <v>51</v>
      </c>
      <c r="D145" s="3"/>
      <c r="E145" s="27" t="s">
        <v>55</v>
      </c>
      <c r="F145" s="27" t="s">
        <v>55</v>
      </c>
      <c r="G145" s="3" t="s">
        <v>56</v>
      </c>
      <c r="H145" s="27" t="s">
        <v>52</v>
      </c>
      <c r="I145" s="23" t="s">
        <v>69</v>
      </c>
      <c r="J145" s="23" t="s">
        <v>52</v>
      </c>
      <c r="K145" s="23" t="s">
        <v>70</v>
      </c>
      <c r="L145" s="27" t="s">
        <v>71</v>
      </c>
      <c r="M145" s="27" t="s">
        <v>72</v>
      </c>
      <c r="N145" s="27" t="s">
        <v>183</v>
      </c>
      <c r="O145" s="27" t="s">
        <v>183</v>
      </c>
      <c r="P145" s="3" t="s">
        <v>417</v>
      </c>
      <c r="Q145" s="27" t="s">
        <v>180</v>
      </c>
      <c r="R145" s="3" t="s">
        <v>180</v>
      </c>
      <c r="S145" s="3" t="s">
        <v>76</v>
      </c>
      <c r="T145" s="27" t="n">
        <v>0</v>
      </c>
      <c r="U145" s="22" t="s">
        <v>77</v>
      </c>
      <c r="V145" s="27" t="s">
        <v>78</v>
      </c>
      <c r="Y145" s="27" t="s">
        <v>79</v>
      </c>
      <c r="Z145" s="27" t="s">
        <v>80</v>
      </c>
      <c r="AA145" s="20" t="s">
        <v>81</v>
      </c>
      <c r="AB145" s="20" t="s">
        <v>82</v>
      </c>
      <c r="AD145" s="20" t="str">
        <f aca="false">Q145</f>
        <v>PaymentInstructionInternalIdentifier</v>
      </c>
      <c r="AF145" s="27" t="n">
        <f aca="false">COUNTIF($AE$2:$AE$218,AE145)</f>
        <v>0</v>
      </c>
      <c r="AH145" s="3"/>
      <c r="AY145" s="22"/>
      <c r="AZ145" s="22"/>
      <c r="BA145" s="22"/>
      <c r="BB145" s="22"/>
      <c r="BC145" s="22"/>
      <c r="BD145" s="22"/>
      <c r="BE145" s="22"/>
      <c r="BF145" s="22"/>
      <c r="BG145" s="0"/>
      <c r="BH145" s="0"/>
    </row>
    <row r="146" s="27" customFormat="true" ht="24" hidden="false" customHeight="true" outlineLevel="0" collapsed="false">
      <c r="A146" s="27" t="s">
        <v>50</v>
      </c>
      <c r="B146" s="27" t="s">
        <v>50</v>
      </c>
      <c r="C146" s="3" t="s">
        <v>51</v>
      </c>
      <c r="D146" s="3"/>
      <c r="E146" s="27" t="s">
        <v>55</v>
      </c>
      <c r="F146" s="27" t="s">
        <v>55</v>
      </c>
      <c r="G146" s="3" t="s">
        <v>56</v>
      </c>
      <c r="H146" s="27" t="s">
        <v>52</v>
      </c>
      <c r="I146" s="23" t="s">
        <v>69</v>
      </c>
      <c r="J146" s="23" t="s">
        <v>52</v>
      </c>
      <c r="K146" s="23" t="s">
        <v>70</v>
      </c>
      <c r="L146" s="27" t="s">
        <v>71</v>
      </c>
      <c r="M146" s="27" t="s">
        <v>72</v>
      </c>
      <c r="N146" s="27" t="s">
        <v>183</v>
      </c>
      <c r="O146" s="27" t="s">
        <v>183</v>
      </c>
      <c r="P146" s="3" t="s">
        <v>417</v>
      </c>
      <c r="Q146" s="27" t="s">
        <v>291</v>
      </c>
      <c r="R146" s="3" t="s">
        <v>418</v>
      </c>
      <c r="S146" s="3" t="s">
        <v>419</v>
      </c>
      <c r="T146" s="27" t="n">
        <v>1</v>
      </c>
      <c r="U146" s="22" t="s">
        <v>77</v>
      </c>
      <c r="V146" s="27" t="s">
        <v>78</v>
      </c>
      <c r="Y146" s="27" t="s">
        <v>79</v>
      </c>
      <c r="AA146" s="23" t="s">
        <v>293</v>
      </c>
      <c r="AB146" s="23" t="s">
        <v>293</v>
      </c>
      <c r="AD146" s="20" t="str">
        <f aca="false">Q146</f>
        <v>UniqueInternalPaymentIdentifier</v>
      </c>
      <c r="AE146" s="27" t="s">
        <v>420</v>
      </c>
      <c r="AF146" s="27" t="n">
        <f aca="false">COUNTIF($AE$2:$AE$218,AE146)</f>
        <v>1</v>
      </c>
      <c r="AG146" s="27" t="s">
        <v>421</v>
      </c>
      <c r="AH146" s="3" t="s">
        <v>422</v>
      </c>
      <c r="AI146" s="27" t="s">
        <v>72</v>
      </c>
      <c r="AJ146" s="4" t="s">
        <v>183</v>
      </c>
      <c r="AK146" s="25" t="s">
        <v>135</v>
      </c>
      <c r="AL146" s="25" t="s">
        <v>135</v>
      </c>
      <c r="AM146" s="25" t="str">
        <f aca="false">AA146</f>
        <v>FK-Payment</v>
      </c>
      <c r="AN146" s="27" t="s">
        <v>291</v>
      </c>
      <c r="AP146" s="27" t="s">
        <v>172</v>
      </c>
      <c r="AQ146" s="20" t="s">
        <v>137</v>
      </c>
      <c r="AR146" s="4" t="s">
        <v>55</v>
      </c>
      <c r="AS146" s="25" t="s">
        <v>138</v>
      </c>
      <c r="AT146" s="25" t="s">
        <v>138</v>
      </c>
      <c r="AU146" s="25" t="s">
        <v>81</v>
      </c>
      <c r="AV146" s="27" t="s">
        <v>291</v>
      </c>
      <c r="AX146" s="27" t="s">
        <v>136</v>
      </c>
      <c r="AY146" s="22"/>
      <c r="AZ146" s="22"/>
      <c r="BA146" s="22"/>
      <c r="BB146" s="22"/>
      <c r="BC146" s="22"/>
      <c r="BD146" s="22"/>
      <c r="BE146" s="22"/>
      <c r="BF146" s="22"/>
      <c r="BG146" s="0"/>
      <c r="BH146" s="0"/>
    </row>
    <row r="147" s="27" customFormat="true" ht="24" hidden="false" customHeight="true" outlineLevel="0" collapsed="false">
      <c r="A147" s="27" t="s">
        <v>50</v>
      </c>
      <c r="B147" s="27" t="s">
        <v>50</v>
      </c>
      <c r="C147" s="3" t="s">
        <v>51</v>
      </c>
      <c r="D147" s="3"/>
      <c r="E147" s="27" t="s">
        <v>55</v>
      </c>
      <c r="F147" s="27" t="s">
        <v>55</v>
      </c>
      <c r="G147" s="3" t="s">
        <v>56</v>
      </c>
      <c r="H147" s="27" t="s">
        <v>52</v>
      </c>
      <c r="I147" s="23" t="s">
        <v>69</v>
      </c>
      <c r="J147" s="23" t="s">
        <v>52</v>
      </c>
      <c r="K147" s="23" t="s">
        <v>70</v>
      </c>
      <c r="L147" s="27" t="s">
        <v>71</v>
      </c>
      <c r="M147" s="27" t="s">
        <v>72</v>
      </c>
      <c r="N147" s="27" t="s">
        <v>183</v>
      </c>
      <c r="O147" s="27" t="s">
        <v>183</v>
      </c>
      <c r="P147" s="3" t="s">
        <v>417</v>
      </c>
      <c r="Q147" s="27" t="s">
        <v>189</v>
      </c>
      <c r="R147" s="3" t="s">
        <v>190</v>
      </c>
      <c r="S147" s="3" t="s">
        <v>423</v>
      </c>
      <c r="T147" s="27" t="n">
        <v>2</v>
      </c>
      <c r="U147" s="22" t="s">
        <v>77</v>
      </c>
      <c r="V147" s="27" t="s">
        <v>78</v>
      </c>
      <c r="Y147" s="27" t="s">
        <v>79</v>
      </c>
      <c r="AA147" s="23" t="s">
        <v>194</v>
      </c>
      <c r="AB147" s="23" t="s">
        <v>194</v>
      </c>
      <c r="AD147" s="20" t="str">
        <f aca="false">Q147</f>
        <v>PaymentInstructionGroupIdentifier</v>
      </c>
      <c r="AE147" s="27" t="s">
        <v>424</v>
      </c>
      <c r="AF147" s="27" t="n">
        <f aca="false">COUNTIF($AE$2:$AE$218,AE147)</f>
        <v>1</v>
      </c>
      <c r="AG147" s="27" t="s">
        <v>425</v>
      </c>
      <c r="AH147" s="3" t="s">
        <v>426</v>
      </c>
      <c r="AI147" s="27" t="s">
        <v>72</v>
      </c>
      <c r="AJ147" s="4" t="s">
        <v>183</v>
      </c>
      <c r="AK147" s="25" t="s">
        <v>135</v>
      </c>
      <c r="AL147" s="25" t="s">
        <v>135</v>
      </c>
      <c r="AM147" s="25" t="str">
        <f aca="false">AA147</f>
        <v>FK-PaymentInstructionGroup</v>
      </c>
      <c r="AN147" s="27" t="s">
        <v>189</v>
      </c>
      <c r="AP147" s="27" t="s">
        <v>172</v>
      </c>
      <c r="AQ147" s="20" t="s">
        <v>137</v>
      </c>
      <c r="AR147" s="4" t="s">
        <v>186</v>
      </c>
      <c r="AS147" s="25" t="s">
        <v>138</v>
      </c>
      <c r="AT147" s="25" t="s">
        <v>138</v>
      </c>
      <c r="AU147" s="25" t="s">
        <v>81</v>
      </c>
      <c r="AV147" s="27" t="s">
        <v>189</v>
      </c>
      <c r="AX147" s="27" t="s">
        <v>136</v>
      </c>
      <c r="AY147" s="22"/>
      <c r="AZ147" s="22"/>
      <c r="BA147" s="22"/>
      <c r="BB147" s="22"/>
      <c r="BC147" s="22"/>
      <c r="BD147" s="22"/>
      <c r="BE147" s="22"/>
      <c r="BF147" s="22"/>
      <c r="BG147" s="0"/>
      <c r="BH147" s="0"/>
    </row>
    <row r="148" s="27" customFormat="true" ht="24" hidden="false" customHeight="true" outlineLevel="0" collapsed="false">
      <c r="A148" s="27" t="s">
        <v>50</v>
      </c>
      <c r="B148" s="27" t="s">
        <v>50</v>
      </c>
      <c r="C148" s="3" t="s">
        <v>51</v>
      </c>
      <c r="D148" s="3"/>
      <c r="E148" s="27" t="s">
        <v>55</v>
      </c>
      <c r="F148" s="27" t="s">
        <v>55</v>
      </c>
      <c r="G148" s="3" t="s">
        <v>56</v>
      </c>
      <c r="H148" s="27" t="s">
        <v>52</v>
      </c>
      <c r="I148" s="23" t="s">
        <v>69</v>
      </c>
      <c r="J148" s="23" t="s">
        <v>52</v>
      </c>
      <c r="K148" s="23" t="s">
        <v>70</v>
      </c>
      <c r="L148" s="27" t="s">
        <v>71</v>
      </c>
      <c r="M148" s="27" t="s">
        <v>72</v>
      </c>
      <c r="N148" s="27" t="s">
        <v>183</v>
      </c>
      <c r="O148" s="27" t="s">
        <v>183</v>
      </c>
      <c r="P148" s="3" t="s">
        <v>417</v>
      </c>
      <c r="Q148" s="27" t="s">
        <v>166</v>
      </c>
      <c r="R148" s="27" t="s">
        <v>166</v>
      </c>
      <c r="S148" s="3" t="s">
        <v>167</v>
      </c>
      <c r="T148" s="27" t="n">
        <v>3</v>
      </c>
      <c r="U148" s="22" t="s">
        <v>77</v>
      </c>
      <c r="V148" s="27" t="s">
        <v>78</v>
      </c>
      <c r="Y148" s="27" t="s">
        <v>79</v>
      </c>
      <c r="AA148" s="23" t="s">
        <v>168</v>
      </c>
      <c r="AB148" s="23" t="s">
        <v>168</v>
      </c>
      <c r="AD148" s="20" t="str">
        <f aca="false">Q148</f>
        <v>InterfaceID</v>
      </c>
      <c r="AE148" s="27" t="s">
        <v>170</v>
      </c>
      <c r="AF148" s="27" t="n">
        <f aca="false">COUNTIF($AE$2:$AE$218,AE148)</f>
        <v>1</v>
      </c>
      <c r="AG148" s="27" t="s">
        <v>170</v>
      </c>
      <c r="AH148" s="3" t="s">
        <v>171</v>
      </c>
      <c r="AI148" s="27" t="s">
        <v>72</v>
      </c>
      <c r="AJ148" s="4" t="s">
        <v>183</v>
      </c>
      <c r="AK148" s="25" t="s">
        <v>135</v>
      </c>
      <c r="AL148" s="25" t="s">
        <v>135</v>
      </c>
      <c r="AM148" s="25" t="str">
        <f aca="false">AA148</f>
        <v>FK-Interface</v>
      </c>
      <c r="AN148" s="27" t="s">
        <v>166</v>
      </c>
      <c r="AP148" s="27" t="s">
        <v>172</v>
      </c>
      <c r="AQ148" s="20" t="s">
        <v>137</v>
      </c>
      <c r="AR148" s="4" t="s">
        <v>59</v>
      </c>
      <c r="AS148" s="25" t="s">
        <v>138</v>
      </c>
      <c r="AT148" s="25" t="s">
        <v>138</v>
      </c>
      <c r="AU148" s="25" t="s">
        <v>81</v>
      </c>
      <c r="AV148" s="27" t="s">
        <v>166</v>
      </c>
      <c r="AX148" s="27" t="s">
        <v>136</v>
      </c>
      <c r="AY148" s="22"/>
      <c r="AZ148" s="22"/>
      <c r="BA148" s="22"/>
      <c r="BB148" s="22"/>
      <c r="BC148" s="22"/>
      <c r="BD148" s="22"/>
      <c r="BE148" s="22"/>
      <c r="BF148" s="22"/>
      <c r="BG148" s="0"/>
      <c r="BH148" s="0"/>
    </row>
    <row r="149" s="27" customFormat="true" ht="24" hidden="false" customHeight="true" outlineLevel="0" collapsed="false">
      <c r="A149" s="27" t="s">
        <v>50</v>
      </c>
      <c r="B149" s="27" t="s">
        <v>50</v>
      </c>
      <c r="C149" s="3" t="s">
        <v>51</v>
      </c>
      <c r="D149" s="3"/>
      <c r="E149" s="27" t="s">
        <v>55</v>
      </c>
      <c r="F149" s="27" t="s">
        <v>55</v>
      </c>
      <c r="G149" s="3" t="s">
        <v>56</v>
      </c>
      <c r="H149" s="27" t="s">
        <v>52</v>
      </c>
      <c r="I149" s="23" t="s">
        <v>69</v>
      </c>
      <c r="J149" s="23" t="s">
        <v>52</v>
      </c>
      <c r="K149" s="23" t="s">
        <v>70</v>
      </c>
      <c r="L149" s="27" t="s">
        <v>71</v>
      </c>
      <c r="M149" s="27" t="s">
        <v>72</v>
      </c>
      <c r="N149" s="27" t="s">
        <v>183</v>
      </c>
      <c r="O149" s="27" t="s">
        <v>183</v>
      </c>
      <c r="P149" s="3" t="s">
        <v>417</v>
      </c>
      <c r="Q149" s="27" t="s">
        <v>427</v>
      </c>
      <c r="R149" s="3" t="s">
        <v>427</v>
      </c>
      <c r="S149" s="3" t="s">
        <v>428</v>
      </c>
      <c r="T149" s="27" t="n">
        <v>4</v>
      </c>
      <c r="U149" s="22" t="s">
        <v>77</v>
      </c>
      <c r="V149" s="27" t="s">
        <v>85</v>
      </c>
      <c r="W149" s="27" t="s">
        <v>429</v>
      </c>
      <c r="Y149" s="27" t="s">
        <v>80</v>
      </c>
      <c r="AF149" s="27" t="n">
        <f aca="false">COUNTIF($AE$2:$AE$218,AE149)</f>
        <v>0</v>
      </c>
      <c r="AH149" s="3"/>
      <c r="AY149" s="22"/>
      <c r="AZ149" s="22"/>
      <c r="BA149" s="22"/>
      <c r="BB149" s="22"/>
      <c r="BC149" s="22"/>
      <c r="BD149" s="22"/>
      <c r="BE149" s="22"/>
      <c r="BF149" s="22"/>
      <c r="BG149" s="0"/>
      <c r="BH149" s="0"/>
    </row>
    <row r="150" s="27" customFormat="true" ht="24" hidden="false" customHeight="true" outlineLevel="0" collapsed="false">
      <c r="A150" s="27" t="s">
        <v>50</v>
      </c>
      <c r="B150" s="27" t="s">
        <v>50</v>
      </c>
      <c r="C150" s="3" t="s">
        <v>51</v>
      </c>
      <c r="D150" s="3"/>
      <c r="E150" s="27" t="s">
        <v>55</v>
      </c>
      <c r="F150" s="27" t="s">
        <v>55</v>
      </c>
      <c r="G150" s="3" t="s">
        <v>56</v>
      </c>
      <c r="H150" s="27" t="s">
        <v>52</v>
      </c>
      <c r="I150" s="23" t="s">
        <v>69</v>
      </c>
      <c r="J150" s="23" t="s">
        <v>52</v>
      </c>
      <c r="K150" s="23" t="s">
        <v>70</v>
      </c>
      <c r="L150" s="27" t="s">
        <v>71</v>
      </c>
      <c r="M150" s="27" t="s">
        <v>72</v>
      </c>
      <c r="N150" s="27" t="s">
        <v>183</v>
      </c>
      <c r="O150" s="27" t="s">
        <v>183</v>
      </c>
      <c r="P150" s="3" t="s">
        <v>417</v>
      </c>
      <c r="Q150" s="27" t="s">
        <v>430</v>
      </c>
      <c r="R150" s="3" t="s">
        <v>430</v>
      </c>
      <c r="S150" s="3" t="s">
        <v>431</v>
      </c>
      <c r="T150" s="27" t="n">
        <v>5</v>
      </c>
      <c r="U150" s="22" t="s">
        <v>77</v>
      </c>
      <c r="V150" s="27" t="s">
        <v>85</v>
      </c>
      <c r="W150" s="27" t="s">
        <v>432</v>
      </c>
      <c r="Y150" s="27" t="s">
        <v>79</v>
      </c>
      <c r="AF150" s="27" t="n">
        <f aca="false">COUNTIF($AE$2:$AE$218,AE150)</f>
        <v>0</v>
      </c>
      <c r="AH150" s="3"/>
      <c r="AY150" s="22"/>
      <c r="AZ150" s="22"/>
      <c r="BA150" s="22"/>
      <c r="BB150" s="22"/>
      <c r="BC150" s="22"/>
      <c r="BD150" s="22"/>
      <c r="BE150" s="22"/>
      <c r="BF150" s="22"/>
      <c r="BG150" s="0"/>
      <c r="BH150" s="0"/>
    </row>
    <row r="151" s="27" customFormat="true" ht="24" hidden="false" customHeight="true" outlineLevel="0" collapsed="false">
      <c r="A151" s="27" t="s">
        <v>50</v>
      </c>
      <c r="B151" s="27" t="s">
        <v>50</v>
      </c>
      <c r="C151" s="3" t="s">
        <v>51</v>
      </c>
      <c r="D151" s="3"/>
      <c r="E151" s="27" t="s">
        <v>55</v>
      </c>
      <c r="F151" s="27" t="s">
        <v>55</v>
      </c>
      <c r="G151" s="3" t="s">
        <v>56</v>
      </c>
      <c r="H151" s="27" t="s">
        <v>52</v>
      </c>
      <c r="I151" s="23" t="s">
        <v>69</v>
      </c>
      <c r="J151" s="23" t="s">
        <v>52</v>
      </c>
      <c r="K151" s="23" t="s">
        <v>70</v>
      </c>
      <c r="L151" s="27" t="s">
        <v>71</v>
      </c>
      <c r="M151" s="27" t="s">
        <v>72</v>
      </c>
      <c r="N151" s="27" t="s">
        <v>183</v>
      </c>
      <c r="O151" s="27" t="s">
        <v>183</v>
      </c>
      <c r="P151" s="3" t="s">
        <v>417</v>
      </c>
      <c r="Q151" s="27" t="s">
        <v>433</v>
      </c>
      <c r="R151" s="3" t="s">
        <v>433</v>
      </c>
      <c r="S151" s="3" t="s">
        <v>434</v>
      </c>
      <c r="T151" s="27" t="n">
        <v>6</v>
      </c>
      <c r="U151" s="22" t="s">
        <v>77</v>
      </c>
      <c r="V151" s="27" t="s">
        <v>85</v>
      </c>
      <c r="W151" s="27" t="s">
        <v>435</v>
      </c>
      <c r="Y151" s="27" t="s">
        <v>80</v>
      </c>
      <c r="AF151" s="27" t="n">
        <f aca="false">COUNTIF($AE$2:$AE$218,AE151)</f>
        <v>0</v>
      </c>
      <c r="AH151" s="3"/>
      <c r="AY151" s="22"/>
      <c r="AZ151" s="22"/>
      <c r="BA151" s="22"/>
      <c r="BB151" s="22"/>
      <c r="BC151" s="22"/>
      <c r="BD151" s="22"/>
      <c r="BE151" s="22"/>
      <c r="BF151" s="22"/>
      <c r="BG151" s="0"/>
      <c r="BH151" s="0"/>
    </row>
    <row r="152" s="27" customFormat="true" ht="24" hidden="false" customHeight="true" outlineLevel="0" collapsed="false">
      <c r="A152" s="27" t="s">
        <v>50</v>
      </c>
      <c r="B152" s="27" t="s">
        <v>50</v>
      </c>
      <c r="C152" s="3" t="s">
        <v>51</v>
      </c>
      <c r="D152" s="3"/>
      <c r="E152" s="27" t="s">
        <v>55</v>
      </c>
      <c r="F152" s="27" t="s">
        <v>55</v>
      </c>
      <c r="G152" s="3" t="s">
        <v>56</v>
      </c>
      <c r="H152" s="27" t="s">
        <v>52</v>
      </c>
      <c r="I152" s="23" t="s">
        <v>69</v>
      </c>
      <c r="J152" s="23" t="s">
        <v>52</v>
      </c>
      <c r="K152" s="23" t="s">
        <v>70</v>
      </c>
      <c r="L152" s="27" t="s">
        <v>71</v>
      </c>
      <c r="M152" s="27" t="s">
        <v>72</v>
      </c>
      <c r="N152" s="27" t="s">
        <v>183</v>
      </c>
      <c r="O152" s="27" t="s">
        <v>183</v>
      </c>
      <c r="P152" s="3" t="s">
        <v>417</v>
      </c>
      <c r="Q152" s="27" t="s">
        <v>436</v>
      </c>
      <c r="R152" s="3" t="s">
        <v>436</v>
      </c>
      <c r="S152" s="3" t="s">
        <v>437</v>
      </c>
      <c r="T152" s="27" t="n">
        <v>7</v>
      </c>
      <c r="U152" s="22" t="s">
        <v>77</v>
      </c>
      <c r="V152" s="27" t="s">
        <v>85</v>
      </c>
      <c r="W152" s="27" t="s">
        <v>438</v>
      </c>
      <c r="Y152" s="27" t="s">
        <v>80</v>
      </c>
      <c r="AF152" s="27" t="n">
        <f aca="false">COUNTIF($AE$2:$AE$218,AE152)</f>
        <v>0</v>
      </c>
      <c r="AH152" s="3"/>
      <c r="AY152" s="22"/>
      <c r="AZ152" s="22"/>
      <c r="BA152" s="22"/>
      <c r="BB152" s="22"/>
      <c r="BC152" s="22"/>
      <c r="BD152" s="22"/>
      <c r="BE152" s="22"/>
      <c r="BF152" s="22"/>
      <c r="BG152" s="0"/>
      <c r="BH152" s="0"/>
    </row>
    <row r="153" s="27" customFormat="true" ht="24" hidden="false" customHeight="true" outlineLevel="0" collapsed="false">
      <c r="A153" s="27" t="s">
        <v>50</v>
      </c>
      <c r="B153" s="27" t="s">
        <v>50</v>
      </c>
      <c r="C153" s="3" t="s">
        <v>51</v>
      </c>
      <c r="D153" s="3"/>
      <c r="E153" s="27" t="s">
        <v>55</v>
      </c>
      <c r="F153" s="27" t="s">
        <v>55</v>
      </c>
      <c r="G153" s="3" t="s">
        <v>56</v>
      </c>
      <c r="H153" s="27" t="s">
        <v>52</v>
      </c>
      <c r="I153" s="23" t="s">
        <v>69</v>
      </c>
      <c r="J153" s="23" t="s">
        <v>52</v>
      </c>
      <c r="K153" s="23" t="s">
        <v>70</v>
      </c>
      <c r="L153" s="27" t="s">
        <v>71</v>
      </c>
      <c r="M153" s="27" t="s">
        <v>72</v>
      </c>
      <c r="N153" s="27" t="s">
        <v>183</v>
      </c>
      <c r="O153" s="27" t="s">
        <v>183</v>
      </c>
      <c r="P153" s="3" t="s">
        <v>417</v>
      </c>
      <c r="Q153" s="27" t="s">
        <v>439</v>
      </c>
      <c r="R153" s="3" t="s">
        <v>439</v>
      </c>
      <c r="S153" s="3" t="s">
        <v>440</v>
      </c>
      <c r="T153" s="27" t="n">
        <v>8</v>
      </c>
      <c r="U153" s="22" t="s">
        <v>77</v>
      </c>
      <c r="V153" s="27" t="s">
        <v>85</v>
      </c>
      <c r="W153" s="27" t="s">
        <v>441</v>
      </c>
      <c r="Y153" s="27" t="s">
        <v>80</v>
      </c>
      <c r="AF153" s="27" t="n">
        <f aca="false">COUNTIF($AE$2:$AE$218,AE153)</f>
        <v>0</v>
      </c>
      <c r="AH153" s="3"/>
      <c r="AY153" s="22"/>
      <c r="AZ153" s="22"/>
      <c r="BA153" s="22"/>
      <c r="BB153" s="22"/>
      <c r="BC153" s="22"/>
      <c r="BD153" s="22"/>
      <c r="BE153" s="22"/>
      <c r="BF153" s="22"/>
      <c r="BG153" s="0"/>
      <c r="BH153" s="0"/>
    </row>
    <row r="154" s="27" customFormat="true" ht="24" hidden="false" customHeight="true" outlineLevel="0" collapsed="false">
      <c r="A154" s="27" t="s">
        <v>50</v>
      </c>
      <c r="B154" s="27" t="s">
        <v>50</v>
      </c>
      <c r="C154" s="3" t="s">
        <v>51</v>
      </c>
      <c r="D154" s="3"/>
      <c r="E154" s="27" t="s">
        <v>55</v>
      </c>
      <c r="F154" s="27" t="s">
        <v>55</v>
      </c>
      <c r="G154" s="3" t="s">
        <v>56</v>
      </c>
      <c r="H154" s="27" t="s">
        <v>52</v>
      </c>
      <c r="I154" s="23" t="s">
        <v>69</v>
      </c>
      <c r="J154" s="23" t="s">
        <v>52</v>
      </c>
      <c r="K154" s="23" t="s">
        <v>70</v>
      </c>
      <c r="L154" s="27" t="s">
        <v>71</v>
      </c>
      <c r="M154" s="27" t="s">
        <v>72</v>
      </c>
      <c r="N154" s="27" t="s">
        <v>183</v>
      </c>
      <c r="O154" s="27" t="s">
        <v>183</v>
      </c>
      <c r="P154" s="3" t="s">
        <v>417</v>
      </c>
      <c r="Q154" s="27" t="s">
        <v>442</v>
      </c>
      <c r="R154" s="3" t="s">
        <v>442</v>
      </c>
      <c r="S154" s="3" t="s">
        <v>443</v>
      </c>
      <c r="T154" s="27" t="n">
        <v>9</v>
      </c>
      <c r="U154" s="22" t="s">
        <v>77</v>
      </c>
      <c r="V154" s="27" t="s">
        <v>85</v>
      </c>
      <c r="Y154" s="27" t="s">
        <v>79</v>
      </c>
      <c r="AF154" s="27" t="n">
        <f aca="false">COUNTIF($AE$2:$AE$218,AE154)</f>
        <v>0</v>
      </c>
      <c r="AH154" s="3"/>
      <c r="AY154" s="22"/>
      <c r="AZ154" s="22"/>
      <c r="BA154" s="22"/>
      <c r="BB154" s="22"/>
      <c r="BC154" s="22"/>
      <c r="BD154" s="22"/>
      <c r="BE154" s="22"/>
      <c r="BF154" s="22"/>
      <c r="BG154" s="0"/>
      <c r="BH154" s="0"/>
    </row>
    <row r="155" s="27" customFormat="true" ht="24" hidden="false" customHeight="true" outlineLevel="0" collapsed="false">
      <c r="A155" s="27" t="s">
        <v>50</v>
      </c>
      <c r="B155" s="27" t="s">
        <v>50</v>
      </c>
      <c r="C155" s="3" t="s">
        <v>51</v>
      </c>
      <c r="D155" s="3"/>
      <c r="E155" s="27" t="s">
        <v>55</v>
      </c>
      <c r="F155" s="27" t="s">
        <v>55</v>
      </c>
      <c r="G155" s="3" t="s">
        <v>56</v>
      </c>
      <c r="H155" s="27" t="s">
        <v>52</v>
      </c>
      <c r="I155" s="23" t="s">
        <v>69</v>
      </c>
      <c r="J155" s="23" t="s">
        <v>52</v>
      </c>
      <c r="K155" s="23" t="s">
        <v>70</v>
      </c>
      <c r="L155" s="27" t="s">
        <v>71</v>
      </c>
      <c r="M155" s="27" t="s">
        <v>72</v>
      </c>
      <c r="N155" s="27" t="s">
        <v>183</v>
      </c>
      <c r="O155" s="27" t="s">
        <v>183</v>
      </c>
      <c r="P155" s="3" t="s">
        <v>417</v>
      </c>
      <c r="Q155" s="27" t="s">
        <v>444</v>
      </c>
      <c r="R155" s="3" t="s">
        <v>444</v>
      </c>
      <c r="S155" s="3" t="s">
        <v>445</v>
      </c>
      <c r="T155" s="27" t="n">
        <v>10</v>
      </c>
      <c r="U155" s="22" t="s">
        <v>77</v>
      </c>
      <c r="V155" s="27" t="s">
        <v>85</v>
      </c>
      <c r="W155" s="27" t="s">
        <v>446</v>
      </c>
      <c r="Y155" s="27" t="s">
        <v>80</v>
      </c>
      <c r="AF155" s="27" t="n">
        <f aca="false">COUNTIF($AE$2:$AE$218,AE155)</f>
        <v>0</v>
      </c>
      <c r="AH155" s="3"/>
      <c r="AY155" s="22"/>
      <c r="AZ155" s="22"/>
      <c r="BA155" s="22"/>
      <c r="BB155" s="22"/>
      <c r="BC155" s="22"/>
      <c r="BD155" s="22"/>
      <c r="BE155" s="22"/>
      <c r="BF155" s="22"/>
      <c r="BG155" s="0"/>
      <c r="BH155" s="0"/>
    </row>
    <row r="156" s="27" customFormat="true" ht="24" hidden="false" customHeight="true" outlineLevel="0" collapsed="false">
      <c r="A156" s="27" t="s">
        <v>50</v>
      </c>
      <c r="B156" s="27" t="s">
        <v>50</v>
      </c>
      <c r="C156" s="3" t="s">
        <v>51</v>
      </c>
      <c r="D156" s="3"/>
      <c r="E156" s="27" t="s">
        <v>55</v>
      </c>
      <c r="F156" s="27" t="s">
        <v>55</v>
      </c>
      <c r="G156" s="3" t="s">
        <v>56</v>
      </c>
      <c r="H156" s="27" t="s">
        <v>52</v>
      </c>
      <c r="I156" s="23" t="s">
        <v>69</v>
      </c>
      <c r="J156" s="23" t="s">
        <v>52</v>
      </c>
      <c r="K156" s="23" t="s">
        <v>70</v>
      </c>
      <c r="L156" s="27" t="s">
        <v>71</v>
      </c>
      <c r="M156" s="27" t="s">
        <v>72</v>
      </c>
      <c r="N156" s="27" t="s">
        <v>183</v>
      </c>
      <c r="O156" s="27" t="s">
        <v>183</v>
      </c>
      <c r="P156" s="3" t="s">
        <v>417</v>
      </c>
      <c r="Q156" s="27" t="s">
        <v>447</v>
      </c>
      <c r="R156" s="3" t="s">
        <v>447</v>
      </c>
      <c r="S156" s="3" t="s">
        <v>448</v>
      </c>
      <c r="T156" s="27" t="n">
        <v>11</v>
      </c>
      <c r="U156" s="22" t="s">
        <v>77</v>
      </c>
      <c r="V156" s="27" t="s">
        <v>85</v>
      </c>
      <c r="W156" s="27" t="s">
        <v>449</v>
      </c>
      <c r="Y156" s="27" t="s">
        <v>80</v>
      </c>
      <c r="AF156" s="27" t="n">
        <f aca="false">COUNTIF($AE$2:$AE$218,AE156)</f>
        <v>0</v>
      </c>
      <c r="AH156" s="3"/>
      <c r="AY156" s="22"/>
      <c r="AZ156" s="22"/>
      <c r="BA156" s="22"/>
      <c r="BB156" s="22"/>
      <c r="BC156" s="22"/>
      <c r="BD156" s="22"/>
      <c r="BE156" s="22"/>
      <c r="BF156" s="22"/>
      <c r="BG156" s="0"/>
      <c r="BH156" s="0"/>
    </row>
    <row r="157" s="27" customFormat="true" ht="24" hidden="false" customHeight="true" outlineLevel="0" collapsed="false">
      <c r="A157" s="27" t="s">
        <v>50</v>
      </c>
      <c r="B157" s="27" t="s">
        <v>50</v>
      </c>
      <c r="C157" s="3" t="s">
        <v>51</v>
      </c>
      <c r="D157" s="3"/>
      <c r="E157" s="27" t="s">
        <v>55</v>
      </c>
      <c r="F157" s="27" t="s">
        <v>55</v>
      </c>
      <c r="G157" s="3" t="s">
        <v>56</v>
      </c>
      <c r="H157" s="27" t="s">
        <v>52</v>
      </c>
      <c r="I157" s="23" t="s">
        <v>69</v>
      </c>
      <c r="J157" s="23" t="s">
        <v>52</v>
      </c>
      <c r="K157" s="23" t="s">
        <v>70</v>
      </c>
      <c r="L157" s="27" t="s">
        <v>71</v>
      </c>
      <c r="M157" s="27" t="s">
        <v>72</v>
      </c>
      <c r="N157" s="27" t="s">
        <v>183</v>
      </c>
      <c r="O157" s="27" t="s">
        <v>183</v>
      </c>
      <c r="P157" s="3" t="s">
        <v>417</v>
      </c>
      <c r="Q157" s="27" t="s">
        <v>450</v>
      </c>
      <c r="R157" s="3" t="s">
        <v>450</v>
      </c>
      <c r="S157" s="3" t="s">
        <v>451</v>
      </c>
      <c r="T157" s="27" t="n">
        <v>12</v>
      </c>
      <c r="U157" s="22" t="s">
        <v>77</v>
      </c>
      <c r="V157" s="27" t="s">
        <v>85</v>
      </c>
      <c r="W157" s="27" t="s">
        <v>452</v>
      </c>
      <c r="Y157" s="27" t="s">
        <v>80</v>
      </c>
      <c r="AF157" s="27" t="n">
        <f aca="false">COUNTIF($AE$2:$AE$218,AE157)</f>
        <v>0</v>
      </c>
      <c r="AH157" s="3"/>
      <c r="AY157" s="22"/>
      <c r="AZ157" s="22"/>
      <c r="BA157" s="22"/>
      <c r="BB157" s="22"/>
      <c r="BC157" s="22"/>
      <c r="BD157" s="22"/>
      <c r="BE157" s="22"/>
      <c r="BF157" s="22"/>
      <c r="BG157" s="0"/>
      <c r="BH157" s="0"/>
    </row>
    <row r="158" s="27" customFormat="true" ht="24" hidden="false" customHeight="true" outlineLevel="0" collapsed="false">
      <c r="A158" s="27" t="s">
        <v>50</v>
      </c>
      <c r="B158" s="27" t="s">
        <v>50</v>
      </c>
      <c r="C158" s="3" t="s">
        <v>51</v>
      </c>
      <c r="D158" s="3"/>
      <c r="E158" s="27" t="s">
        <v>55</v>
      </c>
      <c r="F158" s="27" t="s">
        <v>55</v>
      </c>
      <c r="G158" s="3" t="s">
        <v>56</v>
      </c>
      <c r="H158" s="27" t="s">
        <v>52</v>
      </c>
      <c r="I158" s="23" t="s">
        <v>69</v>
      </c>
      <c r="J158" s="23" t="s">
        <v>52</v>
      </c>
      <c r="K158" s="23" t="s">
        <v>70</v>
      </c>
      <c r="L158" s="27" t="s">
        <v>71</v>
      </c>
      <c r="M158" s="27" t="s">
        <v>72</v>
      </c>
      <c r="N158" s="27" t="s">
        <v>183</v>
      </c>
      <c r="O158" s="27" t="s">
        <v>183</v>
      </c>
      <c r="P158" s="3" t="s">
        <v>417</v>
      </c>
      <c r="Q158" s="27" t="s">
        <v>453</v>
      </c>
      <c r="R158" s="3" t="s">
        <v>453</v>
      </c>
      <c r="S158" s="3" t="s">
        <v>454</v>
      </c>
      <c r="T158" s="27" t="n">
        <v>13</v>
      </c>
      <c r="U158" s="22" t="s">
        <v>77</v>
      </c>
      <c r="V158" s="27" t="s">
        <v>85</v>
      </c>
      <c r="W158" s="27" t="s">
        <v>455</v>
      </c>
      <c r="Y158" s="27" t="s">
        <v>80</v>
      </c>
      <c r="AF158" s="27" t="n">
        <f aca="false">COUNTIF($AE$2:$AE$218,AE158)</f>
        <v>0</v>
      </c>
      <c r="AH158" s="3"/>
      <c r="AY158" s="22"/>
      <c r="AZ158" s="22"/>
      <c r="BA158" s="22"/>
      <c r="BB158" s="22"/>
      <c r="BC158" s="22"/>
      <c r="BD158" s="22"/>
      <c r="BE158" s="22"/>
      <c r="BF158" s="22"/>
      <c r="BG158" s="0"/>
      <c r="BH158" s="0"/>
    </row>
    <row r="159" s="27" customFormat="true" ht="24" hidden="false" customHeight="true" outlineLevel="0" collapsed="false">
      <c r="A159" s="27" t="s">
        <v>50</v>
      </c>
      <c r="B159" s="27" t="s">
        <v>50</v>
      </c>
      <c r="C159" s="3" t="s">
        <v>51</v>
      </c>
      <c r="D159" s="3"/>
      <c r="E159" s="27" t="s">
        <v>55</v>
      </c>
      <c r="F159" s="27" t="s">
        <v>55</v>
      </c>
      <c r="G159" s="3" t="s">
        <v>56</v>
      </c>
      <c r="H159" s="27" t="s">
        <v>52</v>
      </c>
      <c r="I159" s="23" t="s">
        <v>69</v>
      </c>
      <c r="J159" s="23" t="s">
        <v>52</v>
      </c>
      <c r="K159" s="23" t="s">
        <v>70</v>
      </c>
      <c r="L159" s="27" t="s">
        <v>71</v>
      </c>
      <c r="M159" s="27" t="s">
        <v>72</v>
      </c>
      <c r="N159" s="27" t="s">
        <v>183</v>
      </c>
      <c r="O159" s="27" t="s">
        <v>183</v>
      </c>
      <c r="P159" s="3" t="s">
        <v>417</v>
      </c>
      <c r="Q159" s="27" t="s">
        <v>456</v>
      </c>
      <c r="R159" s="3" t="s">
        <v>456</v>
      </c>
      <c r="S159" s="3" t="s">
        <v>457</v>
      </c>
      <c r="T159" s="27" t="n">
        <v>14</v>
      </c>
      <c r="U159" s="22" t="s">
        <v>77</v>
      </c>
      <c r="V159" s="27" t="s">
        <v>85</v>
      </c>
      <c r="W159" s="27" t="s">
        <v>458</v>
      </c>
      <c r="Y159" s="27" t="s">
        <v>80</v>
      </c>
      <c r="AF159" s="27" t="n">
        <f aca="false">COUNTIF($AE$2:$AE$218,AE159)</f>
        <v>0</v>
      </c>
      <c r="AH159" s="3"/>
      <c r="AY159" s="22"/>
      <c r="AZ159" s="22"/>
      <c r="BA159" s="22"/>
      <c r="BB159" s="22"/>
      <c r="BC159" s="22"/>
      <c r="BD159" s="22"/>
      <c r="BE159" s="22"/>
      <c r="BF159" s="22"/>
      <c r="BG159" s="0"/>
      <c r="BH159" s="0"/>
    </row>
    <row r="160" s="27" customFormat="true" ht="24" hidden="false" customHeight="true" outlineLevel="0" collapsed="false">
      <c r="A160" s="27" t="s">
        <v>50</v>
      </c>
      <c r="B160" s="27" t="s">
        <v>50</v>
      </c>
      <c r="C160" s="3" t="s">
        <v>51</v>
      </c>
      <c r="D160" s="3"/>
      <c r="E160" s="27" t="s">
        <v>55</v>
      </c>
      <c r="F160" s="27" t="s">
        <v>55</v>
      </c>
      <c r="G160" s="3" t="s">
        <v>56</v>
      </c>
      <c r="H160" s="27" t="s">
        <v>52</v>
      </c>
      <c r="I160" s="23" t="s">
        <v>69</v>
      </c>
      <c r="J160" s="23" t="s">
        <v>52</v>
      </c>
      <c r="K160" s="23" t="s">
        <v>70</v>
      </c>
      <c r="L160" s="27" t="s">
        <v>71</v>
      </c>
      <c r="M160" s="27" t="s">
        <v>72</v>
      </c>
      <c r="N160" s="27" t="s">
        <v>183</v>
      </c>
      <c r="O160" s="27" t="s">
        <v>183</v>
      </c>
      <c r="P160" s="3" t="s">
        <v>417</v>
      </c>
      <c r="Q160" s="27" t="s">
        <v>459</v>
      </c>
      <c r="R160" s="3" t="s">
        <v>459</v>
      </c>
      <c r="S160" s="3" t="s">
        <v>460</v>
      </c>
      <c r="T160" s="27" t="n">
        <v>15</v>
      </c>
      <c r="U160" s="22" t="s">
        <v>77</v>
      </c>
      <c r="V160" s="27" t="s">
        <v>85</v>
      </c>
      <c r="W160" s="27" t="s">
        <v>461</v>
      </c>
      <c r="Y160" s="27" t="s">
        <v>80</v>
      </c>
      <c r="AF160" s="27" t="n">
        <f aca="false">COUNTIF($AE$2:$AE$218,AE160)</f>
        <v>0</v>
      </c>
      <c r="AH160" s="3"/>
      <c r="AY160" s="22"/>
      <c r="AZ160" s="22"/>
      <c r="BA160" s="22"/>
      <c r="BB160" s="22"/>
      <c r="BC160" s="22"/>
      <c r="BD160" s="22"/>
      <c r="BE160" s="22"/>
      <c r="BF160" s="22"/>
      <c r="BG160" s="0"/>
      <c r="BH160" s="0"/>
    </row>
    <row r="161" s="27" customFormat="true" ht="24" hidden="false" customHeight="true" outlineLevel="0" collapsed="false">
      <c r="A161" s="27" t="s">
        <v>50</v>
      </c>
      <c r="B161" s="27" t="s">
        <v>50</v>
      </c>
      <c r="C161" s="3" t="s">
        <v>51</v>
      </c>
      <c r="D161" s="3"/>
      <c r="E161" s="27" t="s">
        <v>55</v>
      </c>
      <c r="F161" s="27" t="s">
        <v>55</v>
      </c>
      <c r="G161" s="3" t="s">
        <v>56</v>
      </c>
      <c r="H161" s="27" t="s">
        <v>52</v>
      </c>
      <c r="I161" s="23" t="s">
        <v>69</v>
      </c>
      <c r="J161" s="23" t="s">
        <v>52</v>
      </c>
      <c r="K161" s="23" t="s">
        <v>70</v>
      </c>
      <c r="L161" s="27" t="s">
        <v>71</v>
      </c>
      <c r="M161" s="27" t="s">
        <v>72</v>
      </c>
      <c r="N161" s="27" t="s">
        <v>183</v>
      </c>
      <c r="O161" s="27" t="s">
        <v>183</v>
      </c>
      <c r="P161" s="3" t="s">
        <v>417</v>
      </c>
      <c r="Q161" s="27" t="s">
        <v>462</v>
      </c>
      <c r="R161" s="3" t="s">
        <v>462</v>
      </c>
      <c r="S161" s="3" t="s">
        <v>463</v>
      </c>
      <c r="T161" s="27" t="n">
        <v>16</v>
      </c>
      <c r="U161" s="22" t="s">
        <v>77</v>
      </c>
      <c r="V161" s="27" t="s">
        <v>85</v>
      </c>
      <c r="W161" s="27" t="s">
        <v>464</v>
      </c>
      <c r="Y161" s="27" t="s">
        <v>80</v>
      </c>
      <c r="AF161" s="27" t="n">
        <f aca="false">COUNTIF($AE$2:$AE$218,AE161)</f>
        <v>0</v>
      </c>
      <c r="AH161" s="3"/>
      <c r="AY161" s="22"/>
      <c r="AZ161" s="22"/>
      <c r="BA161" s="22"/>
      <c r="BB161" s="22"/>
      <c r="BC161" s="22"/>
      <c r="BD161" s="22"/>
      <c r="BE161" s="22"/>
      <c r="BF161" s="22"/>
      <c r="BG161" s="0"/>
      <c r="BH161" s="0"/>
    </row>
    <row r="162" s="27" customFormat="true" ht="24" hidden="false" customHeight="true" outlineLevel="0" collapsed="false">
      <c r="A162" s="27" t="s">
        <v>50</v>
      </c>
      <c r="B162" s="27" t="s">
        <v>50</v>
      </c>
      <c r="C162" s="3" t="s">
        <v>51</v>
      </c>
      <c r="D162" s="3"/>
      <c r="E162" s="27" t="s">
        <v>55</v>
      </c>
      <c r="F162" s="27" t="s">
        <v>55</v>
      </c>
      <c r="G162" s="3" t="s">
        <v>56</v>
      </c>
      <c r="H162" s="27" t="s">
        <v>52</v>
      </c>
      <c r="I162" s="23" t="s">
        <v>69</v>
      </c>
      <c r="J162" s="23" t="s">
        <v>52</v>
      </c>
      <c r="K162" s="23" t="s">
        <v>70</v>
      </c>
      <c r="L162" s="27" t="s">
        <v>71</v>
      </c>
      <c r="M162" s="27" t="s">
        <v>72</v>
      </c>
      <c r="N162" s="27" t="s">
        <v>183</v>
      </c>
      <c r="O162" s="27" t="s">
        <v>183</v>
      </c>
      <c r="P162" s="3" t="s">
        <v>417</v>
      </c>
      <c r="Q162" s="27" t="s">
        <v>465</v>
      </c>
      <c r="R162" s="3" t="s">
        <v>465</v>
      </c>
      <c r="S162" s="3" t="s">
        <v>466</v>
      </c>
      <c r="T162" s="27" t="n">
        <v>17</v>
      </c>
      <c r="U162" s="22" t="s">
        <v>77</v>
      </c>
      <c r="V162" s="27" t="s">
        <v>85</v>
      </c>
      <c r="W162" s="27" t="s">
        <v>467</v>
      </c>
      <c r="Y162" s="27" t="s">
        <v>79</v>
      </c>
      <c r="AF162" s="27" t="n">
        <f aca="false">COUNTIF($AE$2:$AE$218,AE162)</f>
        <v>0</v>
      </c>
      <c r="AH162" s="3"/>
      <c r="AY162" s="22"/>
      <c r="AZ162" s="22"/>
      <c r="BA162" s="22"/>
      <c r="BB162" s="22"/>
      <c r="BC162" s="22"/>
      <c r="BD162" s="22"/>
      <c r="BE162" s="22"/>
      <c r="BF162" s="22"/>
      <c r="BG162" s="0"/>
      <c r="BH162" s="0"/>
    </row>
    <row r="163" s="27" customFormat="true" ht="24" hidden="false" customHeight="true" outlineLevel="0" collapsed="false">
      <c r="A163" s="27" t="s">
        <v>50</v>
      </c>
      <c r="B163" s="27" t="s">
        <v>50</v>
      </c>
      <c r="C163" s="3" t="s">
        <v>51</v>
      </c>
      <c r="D163" s="3"/>
      <c r="E163" s="27" t="s">
        <v>55</v>
      </c>
      <c r="F163" s="27" t="s">
        <v>55</v>
      </c>
      <c r="G163" s="3" t="s">
        <v>56</v>
      </c>
      <c r="H163" s="27" t="s">
        <v>52</v>
      </c>
      <c r="I163" s="23" t="s">
        <v>69</v>
      </c>
      <c r="J163" s="23" t="s">
        <v>52</v>
      </c>
      <c r="K163" s="23" t="s">
        <v>70</v>
      </c>
      <c r="L163" s="27" t="s">
        <v>71</v>
      </c>
      <c r="M163" s="27" t="s">
        <v>72</v>
      </c>
      <c r="N163" s="27" t="s">
        <v>183</v>
      </c>
      <c r="O163" s="27" t="s">
        <v>183</v>
      </c>
      <c r="P163" s="3" t="s">
        <v>417</v>
      </c>
      <c r="Q163" s="27" t="s">
        <v>468</v>
      </c>
      <c r="R163" s="3" t="s">
        <v>469</v>
      </c>
      <c r="S163" s="3" t="s">
        <v>470</v>
      </c>
      <c r="T163" s="27" t="n">
        <v>18</v>
      </c>
      <c r="U163" s="22" t="s">
        <v>77</v>
      </c>
      <c r="V163" s="27" t="s">
        <v>85</v>
      </c>
      <c r="W163" s="27" t="s">
        <v>471</v>
      </c>
      <c r="Y163" s="27" t="s">
        <v>80</v>
      </c>
      <c r="AF163" s="27" t="n">
        <f aca="false">COUNTIF($AE$2:$AE$218,AE163)</f>
        <v>0</v>
      </c>
      <c r="AH163" s="3"/>
      <c r="AY163" s="22"/>
      <c r="AZ163" s="22"/>
      <c r="BA163" s="22"/>
      <c r="BB163" s="22"/>
      <c r="BC163" s="22"/>
      <c r="BD163" s="22"/>
      <c r="BE163" s="22"/>
      <c r="BF163" s="22"/>
      <c r="BG163" s="0"/>
      <c r="BH163" s="0"/>
    </row>
    <row r="164" s="27" customFormat="true" ht="24" hidden="false" customHeight="true" outlineLevel="0" collapsed="false">
      <c r="A164" s="27" t="s">
        <v>50</v>
      </c>
      <c r="B164" s="27" t="s">
        <v>50</v>
      </c>
      <c r="C164" s="3" t="s">
        <v>51</v>
      </c>
      <c r="D164" s="3"/>
      <c r="E164" s="27" t="s">
        <v>55</v>
      </c>
      <c r="F164" s="27" t="s">
        <v>55</v>
      </c>
      <c r="G164" s="3" t="s">
        <v>56</v>
      </c>
      <c r="H164" s="27" t="s">
        <v>52</v>
      </c>
      <c r="I164" s="23" t="s">
        <v>69</v>
      </c>
      <c r="J164" s="23" t="s">
        <v>52</v>
      </c>
      <c r="K164" s="23" t="s">
        <v>70</v>
      </c>
      <c r="L164" s="27" t="s">
        <v>71</v>
      </c>
      <c r="M164" s="27" t="s">
        <v>72</v>
      </c>
      <c r="N164" s="27" t="s">
        <v>183</v>
      </c>
      <c r="O164" s="27" t="s">
        <v>183</v>
      </c>
      <c r="P164" s="3" t="s">
        <v>417</v>
      </c>
      <c r="Q164" s="27" t="s">
        <v>472</v>
      </c>
      <c r="R164" s="3" t="s">
        <v>472</v>
      </c>
      <c r="S164" s="3" t="s">
        <v>473</v>
      </c>
      <c r="T164" s="27" t="n">
        <v>19</v>
      </c>
      <c r="U164" s="22" t="s">
        <v>77</v>
      </c>
      <c r="V164" s="27" t="s">
        <v>174</v>
      </c>
      <c r="W164" s="27" t="s">
        <v>474</v>
      </c>
      <c r="Y164" s="27" t="s">
        <v>80</v>
      </c>
      <c r="AF164" s="27" t="n">
        <f aca="false">COUNTIF($AE$2:$AE$218,AE164)</f>
        <v>0</v>
      </c>
      <c r="AH164" s="3"/>
      <c r="AY164" s="22"/>
      <c r="AZ164" s="22"/>
      <c r="BA164" s="22"/>
      <c r="BB164" s="22"/>
      <c r="BC164" s="22"/>
      <c r="BD164" s="22"/>
      <c r="BE164" s="22"/>
      <c r="BF164" s="22"/>
      <c r="BG164" s="0"/>
      <c r="BH164" s="0"/>
    </row>
    <row r="165" s="27" customFormat="true" ht="24" hidden="false" customHeight="true" outlineLevel="0" collapsed="false">
      <c r="A165" s="27" t="s">
        <v>50</v>
      </c>
      <c r="B165" s="27" t="s">
        <v>50</v>
      </c>
      <c r="C165" s="3" t="s">
        <v>51</v>
      </c>
      <c r="D165" s="3"/>
      <c r="E165" s="27" t="s">
        <v>55</v>
      </c>
      <c r="F165" s="27" t="s">
        <v>55</v>
      </c>
      <c r="G165" s="3" t="s">
        <v>56</v>
      </c>
      <c r="H165" s="27" t="s">
        <v>52</v>
      </c>
      <c r="I165" s="23" t="s">
        <v>69</v>
      </c>
      <c r="J165" s="23" t="s">
        <v>52</v>
      </c>
      <c r="K165" s="23" t="s">
        <v>70</v>
      </c>
      <c r="L165" s="27" t="s">
        <v>71</v>
      </c>
      <c r="M165" s="27" t="s">
        <v>72</v>
      </c>
      <c r="N165" s="27" t="s">
        <v>183</v>
      </c>
      <c r="O165" s="27" t="s">
        <v>183</v>
      </c>
      <c r="P165" s="3" t="s">
        <v>417</v>
      </c>
      <c r="Q165" s="27" t="s">
        <v>475</v>
      </c>
      <c r="R165" s="3" t="s">
        <v>475</v>
      </c>
      <c r="S165" s="3" t="s">
        <v>476</v>
      </c>
      <c r="T165" s="27" t="n">
        <v>20</v>
      </c>
      <c r="U165" s="22" t="s">
        <v>77</v>
      </c>
      <c r="V165" s="27" t="s">
        <v>206</v>
      </c>
      <c r="W165" s="27" t="s">
        <v>477</v>
      </c>
      <c r="Y165" s="27" t="s">
        <v>80</v>
      </c>
      <c r="AF165" s="27" t="n">
        <f aca="false">COUNTIF($AE$2:$AE$218,AE165)</f>
        <v>0</v>
      </c>
      <c r="AH165" s="3"/>
      <c r="AY165" s="22"/>
      <c r="AZ165" s="22"/>
      <c r="BA165" s="22"/>
      <c r="BB165" s="22"/>
      <c r="BC165" s="22"/>
      <c r="BD165" s="22"/>
      <c r="BE165" s="22"/>
      <c r="BF165" s="22"/>
      <c r="BG165" s="0"/>
      <c r="BH165" s="0"/>
    </row>
    <row r="166" s="27" customFormat="true" ht="24" hidden="false" customHeight="true" outlineLevel="0" collapsed="false">
      <c r="A166" s="27" t="s">
        <v>50</v>
      </c>
      <c r="B166" s="27" t="s">
        <v>50</v>
      </c>
      <c r="C166" s="3" t="s">
        <v>51</v>
      </c>
      <c r="D166" s="3"/>
      <c r="E166" s="27" t="s">
        <v>55</v>
      </c>
      <c r="F166" s="27" t="s">
        <v>55</v>
      </c>
      <c r="G166" s="3" t="s">
        <v>56</v>
      </c>
      <c r="H166" s="27" t="s">
        <v>52</v>
      </c>
      <c r="I166" s="23" t="s">
        <v>69</v>
      </c>
      <c r="J166" s="23" t="s">
        <v>52</v>
      </c>
      <c r="K166" s="23" t="s">
        <v>70</v>
      </c>
      <c r="L166" s="27" t="s">
        <v>71</v>
      </c>
      <c r="M166" s="27" t="s">
        <v>72</v>
      </c>
      <c r="N166" s="27" t="s">
        <v>183</v>
      </c>
      <c r="O166" s="27" t="s">
        <v>183</v>
      </c>
      <c r="P166" s="3" t="s">
        <v>417</v>
      </c>
      <c r="Q166" s="27" t="s">
        <v>478</v>
      </c>
      <c r="R166" s="3" t="s">
        <v>478</v>
      </c>
      <c r="S166" s="3" t="s">
        <v>479</v>
      </c>
      <c r="T166" s="27" t="n">
        <v>21</v>
      </c>
      <c r="U166" s="22" t="s">
        <v>77</v>
      </c>
      <c r="V166" s="27" t="s">
        <v>328</v>
      </c>
      <c r="W166" s="27" t="s">
        <v>480</v>
      </c>
      <c r="Y166" s="27" t="s">
        <v>79</v>
      </c>
      <c r="AF166" s="27" t="n">
        <f aca="false">COUNTIF($AE$2:$AE$218,AE166)</f>
        <v>0</v>
      </c>
      <c r="AH166" s="3"/>
      <c r="AY166" s="22"/>
      <c r="AZ166" s="22"/>
      <c r="BA166" s="22"/>
      <c r="BB166" s="22"/>
      <c r="BC166" s="22"/>
      <c r="BD166" s="22"/>
      <c r="BE166" s="22"/>
      <c r="BF166" s="22"/>
      <c r="BG166" s="0"/>
      <c r="BH166" s="0"/>
    </row>
    <row r="167" s="27" customFormat="true" ht="24" hidden="false" customHeight="true" outlineLevel="0" collapsed="false">
      <c r="A167" s="27" t="s">
        <v>50</v>
      </c>
      <c r="B167" s="27" t="s">
        <v>50</v>
      </c>
      <c r="C167" s="3" t="s">
        <v>51</v>
      </c>
      <c r="D167" s="3"/>
      <c r="E167" s="27" t="s">
        <v>55</v>
      </c>
      <c r="F167" s="27" t="s">
        <v>55</v>
      </c>
      <c r="G167" s="3" t="s">
        <v>56</v>
      </c>
      <c r="H167" s="27" t="s">
        <v>52</v>
      </c>
      <c r="I167" s="23" t="s">
        <v>69</v>
      </c>
      <c r="J167" s="23" t="s">
        <v>52</v>
      </c>
      <c r="K167" s="23" t="s">
        <v>70</v>
      </c>
      <c r="L167" s="27" t="s">
        <v>71</v>
      </c>
      <c r="M167" s="27" t="s">
        <v>72</v>
      </c>
      <c r="N167" s="27" t="s">
        <v>183</v>
      </c>
      <c r="O167" s="27" t="s">
        <v>183</v>
      </c>
      <c r="P167" s="3" t="s">
        <v>417</v>
      </c>
      <c r="Q167" s="27" t="s">
        <v>481</v>
      </c>
      <c r="R167" s="3" t="s">
        <v>481</v>
      </c>
      <c r="S167" s="3" t="s">
        <v>482</v>
      </c>
      <c r="T167" s="27" t="n">
        <v>22</v>
      </c>
      <c r="U167" s="22" t="s">
        <v>77</v>
      </c>
      <c r="V167" s="27" t="s">
        <v>85</v>
      </c>
      <c r="W167" s="27" t="s">
        <v>480</v>
      </c>
      <c r="Y167" s="27" t="s">
        <v>79</v>
      </c>
      <c r="AF167" s="27" t="n">
        <f aca="false">COUNTIF($AE$2:$AE$218,AE167)</f>
        <v>0</v>
      </c>
      <c r="AH167" s="3"/>
      <c r="AY167" s="22"/>
      <c r="AZ167" s="22"/>
      <c r="BA167" s="22"/>
      <c r="BB167" s="22"/>
      <c r="BC167" s="22"/>
      <c r="BD167" s="22"/>
      <c r="BE167" s="22"/>
      <c r="BF167" s="22"/>
      <c r="BG167" s="0"/>
      <c r="BH167" s="0"/>
    </row>
    <row r="168" s="27" customFormat="true" ht="24" hidden="false" customHeight="true" outlineLevel="0" collapsed="false">
      <c r="A168" s="27" t="s">
        <v>50</v>
      </c>
      <c r="B168" s="27" t="s">
        <v>50</v>
      </c>
      <c r="C168" s="3" t="s">
        <v>51</v>
      </c>
      <c r="D168" s="3"/>
      <c r="E168" s="27" t="s">
        <v>55</v>
      </c>
      <c r="F168" s="27" t="s">
        <v>55</v>
      </c>
      <c r="G168" s="3" t="s">
        <v>56</v>
      </c>
      <c r="H168" s="27" t="s">
        <v>52</v>
      </c>
      <c r="I168" s="23" t="s">
        <v>69</v>
      </c>
      <c r="J168" s="23" t="s">
        <v>52</v>
      </c>
      <c r="K168" s="23" t="s">
        <v>70</v>
      </c>
      <c r="L168" s="27" t="s">
        <v>71</v>
      </c>
      <c r="M168" s="27" t="s">
        <v>72</v>
      </c>
      <c r="N168" s="27" t="s">
        <v>183</v>
      </c>
      <c r="O168" s="27" t="s">
        <v>183</v>
      </c>
      <c r="P168" s="3" t="s">
        <v>417</v>
      </c>
      <c r="Q168" s="27" t="s">
        <v>483</v>
      </c>
      <c r="R168" s="3" t="s">
        <v>483</v>
      </c>
      <c r="S168" s="3" t="s">
        <v>484</v>
      </c>
      <c r="T168" s="27" t="n">
        <v>23</v>
      </c>
      <c r="U168" s="22" t="s">
        <v>77</v>
      </c>
      <c r="V168" s="27" t="s">
        <v>149</v>
      </c>
      <c r="W168" s="27" t="s">
        <v>485</v>
      </c>
      <c r="Y168" s="27" t="s">
        <v>80</v>
      </c>
      <c r="AF168" s="27" t="n">
        <f aca="false">COUNTIF($AE$2:$AE$218,AE168)</f>
        <v>0</v>
      </c>
      <c r="AH168" s="3"/>
      <c r="AY168" s="22"/>
      <c r="AZ168" s="22"/>
      <c r="BA168" s="22"/>
      <c r="BB168" s="22"/>
      <c r="BC168" s="22"/>
      <c r="BD168" s="22"/>
      <c r="BE168" s="22"/>
      <c r="BF168" s="22"/>
      <c r="BG168" s="0"/>
      <c r="BH168" s="0"/>
    </row>
    <row r="169" s="27" customFormat="true" ht="24" hidden="false" customHeight="true" outlineLevel="0" collapsed="false">
      <c r="A169" s="27" t="s">
        <v>50</v>
      </c>
      <c r="B169" s="27" t="s">
        <v>50</v>
      </c>
      <c r="C169" s="3" t="s">
        <v>51</v>
      </c>
      <c r="D169" s="3"/>
      <c r="E169" s="27" t="s">
        <v>55</v>
      </c>
      <c r="F169" s="27" t="s">
        <v>55</v>
      </c>
      <c r="G169" s="3" t="s">
        <v>56</v>
      </c>
      <c r="H169" s="27" t="s">
        <v>52</v>
      </c>
      <c r="I169" s="23" t="s">
        <v>69</v>
      </c>
      <c r="J169" s="23" t="s">
        <v>52</v>
      </c>
      <c r="K169" s="23" t="s">
        <v>70</v>
      </c>
      <c r="L169" s="27" t="s">
        <v>71</v>
      </c>
      <c r="M169" s="27" t="s">
        <v>72</v>
      </c>
      <c r="N169" s="27" t="s">
        <v>183</v>
      </c>
      <c r="O169" s="27" t="s">
        <v>183</v>
      </c>
      <c r="P169" s="3" t="s">
        <v>417</v>
      </c>
      <c r="Q169" s="27" t="s">
        <v>486</v>
      </c>
      <c r="R169" s="3" t="s">
        <v>486</v>
      </c>
      <c r="S169" s="3" t="s">
        <v>487</v>
      </c>
      <c r="T169" s="27" t="n">
        <v>24</v>
      </c>
      <c r="U169" s="22" t="s">
        <v>77</v>
      </c>
      <c r="V169" s="27" t="s">
        <v>85</v>
      </c>
      <c r="W169" s="27" t="s">
        <v>488</v>
      </c>
      <c r="Y169" s="27" t="s">
        <v>80</v>
      </c>
      <c r="AF169" s="27" t="n">
        <f aca="false">COUNTIF($AE$2:$AE$218,AE169)</f>
        <v>0</v>
      </c>
      <c r="AH169" s="3"/>
      <c r="AY169" s="22"/>
      <c r="AZ169" s="22"/>
      <c r="BA169" s="22"/>
      <c r="BB169" s="22"/>
      <c r="BC169" s="22"/>
      <c r="BD169" s="22"/>
      <c r="BE169" s="22"/>
      <c r="BF169" s="22"/>
      <c r="BG169" s="0"/>
      <c r="BH169" s="0"/>
    </row>
    <row r="170" s="27" customFormat="true" ht="24" hidden="false" customHeight="true" outlineLevel="0" collapsed="false">
      <c r="A170" s="27" t="s">
        <v>50</v>
      </c>
      <c r="B170" s="27" t="s">
        <v>50</v>
      </c>
      <c r="C170" s="3" t="s">
        <v>51</v>
      </c>
      <c r="D170" s="3"/>
      <c r="E170" s="27" t="s">
        <v>55</v>
      </c>
      <c r="F170" s="27" t="s">
        <v>55</v>
      </c>
      <c r="G170" s="3" t="s">
        <v>56</v>
      </c>
      <c r="H170" s="27" t="s">
        <v>52</v>
      </c>
      <c r="I170" s="23" t="s">
        <v>69</v>
      </c>
      <c r="J170" s="23" t="s">
        <v>52</v>
      </c>
      <c r="K170" s="23" t="s">
        <v>70</v>
      </c>
      <c r="L170" s="27" t="s">
        <v>71</v>
      </c>
      <c r="M170" s="27" t="s">
        <v>72</v>
      </c>
      <c r="N170" s="27" t="s">
        <v>183</v>
      </c>
      <c r="O170" s="27" t="s">
        <v>183</v>
      </c>
      <c r="P170" s="3" t="s">
        <v>417</v>
      </c>
      <c r="Q170" s="27" t="s">
        <v>489</v>
      </c>
      <c r="R170" s="3" t="s">
        <v>489</v>
      </c>
      <c r="S170" s="3" t="s">
        <v>490</v>
      </c>
      <c r="T170" s="27" t="n">
        <v>25</v>
      </c>
      <c r="U170" s="22" t="s">
        <v>77</v>
      </c>
      <c r="V170" s="27" t="s">
        <v>174</v>
      </c>
      <c r="W170" s="27" t="s">
        <v>491</v>
      </c>
      <c r="Y170" s="27" t="s">
        <v>80</v>
      </c>
      <c r="AF170" s="27" t="n">
        <f aca="false">COUNTIF($AE$2:$AE$218,AE170)</f>
        <v>0</v>
      </c>
      <c r="AH170" s="3"/>
      <c r="AY170" s="22"/>
      <c r="AZ170" s="22"/>
      <c r="BA170" s="22"/>
      <c r="BB170" s="22"/>
      <c r="BC170" s="22"/>
      <c r="BD170" s="22"/>
      <c r="BE170" s="22"/>
      <c r="BF170" s="22"/>
      <c r="BG170" s="0"/>
      <c r="BH170" s="0"/>
    </row>
    <row r="171" s="27" customFormat="true" ht="24" hidden="false" customHeight="true" outlineLevel="0" collapsed="false">
      <c r="A171" s="27" t="s">
        <v>50</v>
      </c>
      <c r="B171" s="27" t="s">
        <v>50</v>
      </c>
      <c r="C171" s="3" t="s">
        <v>51</v>
      </c>
      <c r="D171" s="3"/>
      <c r="E171" s="27" t="s">
        <v>55</v>
      </c>
      <c r="F171" s="27" t="s">
        <v>55</v>
      </c>
      <c r="G171" s="3" t="s">
        <v>56</v>
      </c>
      <c r="H171" s="27" t="s">
        <v>52</v>
      </c>
      <c r="I171" s="23" t="s">
        <v>69</v>
      </c>
      <c r="J171" s="23" t="s">
        <v>52</v>
      </c>
      <c r="K171" s="23" t="s">
        <v>70</v>
      </c>
      <c r="L171" s="27" t="s">
        <v>71</v>
      </c>
      <c r="M171" s="27" t="s">
        <v>72</v>
      </c>
      <c r="N171" s="27" t="s">
        <v>183</v>
      </c>
      <c r="O171" s="27" t="s">
        <v>183</v>
      </c>
      <c r="P171" s="3" t="s">
        <v>417</v>
      </c>
      <c r="Q171" s="27" t="s">
        <v>492</v>
      </c>
      <c r="R171" s="3" t="s">
        <v>492</v>
      </c>
      <c r="S171" s="3" t="s">
        <v>493</v>
      </c>
      <c r="T171" s="27" t="n">
        <v>26</v>
      </c>
      <c r="U171" s="22" t="s">
        <v>77</v>
      </c>
      <c r="V171" s="27" t="s">
        <v>174</v>
      </c>
      <c r="W171" s="27" t="s">
        <v>494</v>
      </c>
      <c r="Y171" s="27" t="s">
        <v>80</v>
      </c>
      <c r="AF171" s="27" t="n">
        <f aca="false">COUNTIF($AE$2:$AE$218,AE171)</f>
        <v>0</v>
      </c>
      <c r="AH171" s="3"/>
      <c r="AY171" s="22"/>
      <c r="AZ171" s="22"/>
      <c r="BA171" s="22"/>
      <c r="BB171" s="22"/>
      <c r="BC171" s="22"/>
      <c r="BD171" s="22"/>
      <c r="BE171" s="22"/>
      <c r="BF171" s="22"/>
      <c r="BG171" s="0"/>
      <c r="BH171" s="0"/>
    </row>
    <row r="172" s="27" customFormat="true" ht="24" hidden="false" customHeight="true" outlineLevel="0" collapsed="false">
      <c r="A172" s="27" t="s">
        <v>50</v>
      </c>
      <c r="B172" s="27" t="s">
        <v>50</v>
      </c>
      <c r="C172" s="3" t="s">
        <v>51</v>
      </c>
      <c r="D172" s="3"/>
      <c r="E172" s="27" t="s">
        <v>55</v>
      </c>
      <c r="F172" s="27" t="s">
        <v>55</v>
      </c>
      <c r="G172" s="3" t="s">
        <v>56</v>
      </c>
      <c r="H172" s="27" t="s">
        <v>52</v>
      </c>
      <c r="I172" s="23" t="s">
        <v>69</v>
      </c>
      <c r="J172" s="23" t="s">
        <v>52</v>
      </c>
      <c r="K172" s="23" t="s">
        <v>70</v>
      </c>
      <c r="L172" s="27" t="s">
        <v>71</v>
      </c>
      <c r="M172" s="27" t="s">
        <v>72</v>
      </c>
      <c r="N172" s="27" t="s">
        <v>183</v>
      </c>
      <c r="O172" s="27" t="s">
        <v>183</v>
      </c>
      <c r="P172" s="3" t="s">
        <v>417</v>
      </c>
      <c r="Q172" s="27" t="s">
        <v>495</v>
      </c>
      <c r="R172" s="3" t="s">
        <v>495</v>
      </c>
      <c r="S172" s="3" t="s">
        <v>496</v>
      </c>
      <c r="T172" s="27" t="n">
        <v>27</v>
      </c>
      <c r="U172" s="22" t="s">
        <v>77</v>
      </c>
      <c r="V172" s="27" t="s">
        <v>174</v>
      </c>
      <c r="W172" s="27" t="s">
        <v>497</v>
      </c>
      <c r="Y172" s="27" t="s">
        <v>80</v>
      </c>
      <c r="AF172" s="27" t="n">
        <f aca="false">COUNTIF($AE$2:$AE$218,AE172)</f>
        <v>0</v>
      </c>
      <c r="AH172" s="3"/>
      <c r="AY172" s="22"/>
      <c r="AZ172" s="22"/>
      <c r="BA172" s="22"/>
      <c r="BB172" s="22"/>
      <c r="BC172" s="22"/>
      <c r="BD172" s="22"/>
      <c r="BE172" s="22"/>
      <c r="BF172" s="22"/>
      <c r="BG172" s="0"/>
      <c r="BH172" s="0"/>
    </row>
    <row r="173" s="27" customFormat="true" ht="24" hidden="false" customHeight="true" outlineLevel="0" collapsed="false">
      <c r="A173" s="27" t="s">
        <v>50</v>
      </c>
      <c r="B173" s="27" t="s">
        <v>50</v>
      </c>
      <c r="C173" s="3" t="s">
        <v>51</v>
      </c>
      <c r="D173" s="3"/>
      <c r="E173" s="27" t="s">
        <v>55</v>
      </c>
      <c r="F173" s="27" t="s">
        <v>55</v>
      </c>
      <c r="G173" s="3" t="s">
        <v>56</v>
      </c>
      <c r="H173" s="27" t="s">
        <v>52</v>
      </c>
      <c r="I173" s="23" t="s">
        <v>69</v>
      </c>
      <c r="J173" s="23" t="s">
        <v>52</v>
      </c>
      <c r="K173" s="23" t="s">
        <v>70</v>
      </c>
      <c r="L173" s="27" t="s">
        <v>71</v>
      </c>
      <c r="M173" s="27" t="s">
        <v>72</v>
      </c>
      <c r="N173" s="27" t="s">
        <v>183</v>
      </c>
      <c r="O173" s="27" t="s">
        <v>183</v>
      </c>
      <c r="P173" s="3" t="s">
        <v>417</v>
      </c>
      <c r="Q173" s="27" t="s">
        <v>498</v>
      </c>
      <c r="R173" s="3" t="s">
        <v>498</v>
      </c>
      <c r="S173" s="3" t="s">
        <v>499</v>
      </c>
      <c r="T173" s="27" t="n">
        <v>28</v>
      </c>
      <c r="U173" s="22" t="s">
        <v>77</v>
      </c>
      <c r="V173" s="27" t="s">
        <v>174</v>
      </c>
      <c r="W173" s="27" t="s">
        <v>500</v>
      </c>
      <c r="Y173" s="27" t="s">
        <v>80</v>
      </c>
      <c r="AF173" s="27" t="n">
        <f aca="false">COUNTIF($AE$2:$AE$218,AE173)</f>
        <v>0</v>
      </c>
      <c r="AH173" s="3"/>
      <c r="AY173" s="22"/>
      <c r="AZ173" s="22"/>
      <c r="BA173" s="22"/>
      <c r="BB173" s="22"/>
      <c r="BC173" s="22"/>
      <c r="BD173" s="22"/>
      <c r="BE173" s="22"/>
      <c r="BF173" s="22"/>
      <c r="BG173" s="0"/>
      <c r="BH173" s="0"/>
    </row>
    <row r="174" s="27" customFormat="true" ht="24" hidden="false" customHeight="true" outlineLevel="0" collapsed="false">
      <c r="A174" s="27" t="s">
        <v>50</v>
      </c>
      <c r="B174" s="27" t="s">
        <v>50</v>
      </c>
      <c r="C174" s="3" t="s">
        <v>51</v>
      </c>
      <c r="D174" s="3"/>
      <c r="E174" s="27" t="s">
        <v>55</v>
      </c>
      <c r="F174" s="27" t="s">
        <v>55</v>
      </c>
      <c r="G174" s="3" t="s">
        <v>56</v>
      </c>
      <c r="H174" s="27" t="s">
        <v>52</v>
      </c>
      <c r="I174" s="23" t="s">
        <v>69</v>
      </c>
      <c r="J174" s="23" t="s">
        <v>52</v>
      </c>
      <c r="K174" s="23" t="s">
        <v>70</v>
      </c>
      <c r="L174" s="27" t="s">
        <v>71</v>
      </c>
      <c r="M174" s="27" t="s">
        <v>72</v>
      </c>
      <c r="N174" s="27" t="s">
        <v>183</v>
      </c>
      <c r="O174" s="27" t="s">
        <v>183</v>
      </c>
      <c r="P174" s="3" t="s">
        <v>417</v>
      </c>
      <c r="Q174" s="27" t="s">
        <v>501</v>
      </c>
      <c r="R174" s="3" t="s">
        <v>501</v>
      </c>
      <c r="S174" s="3" t="s">
        <v>502</v>
      </c>
      <c r="T174" s="27" t="n">
        <v>29</v>
      </c>
      <c r="U174" s="22" t="s">
        <v>77</v>
      </c>
      <c r="V174" s="27" t="s">
        <v>149</v>
      </c>
      <c r="W174" s="27" t="s">
        <v>503</v>
      </c>
      <c r="Y174" s="27" t="s">
        <v>80</v>
      </c>
      <c r="AF174" s="27" t="n">
        <f aca="false">COUNTIF($AE$2:$AE$218,AE174)</f>
        <v>0</v>
      </c>
      <c r="AH174" s="3"/>
      <c r="AY174" s="22"/>
      <c r="AZ174" s="22"/>
      <c r="BA174" s="22"/>
      <c r="BB174" s="22"/>
      <c r="BC174" s="22"/>
      <c r="BD174" s="22"/>
      <c r="BE174" s="22"/>
      <c r="BF174" s="22"/>
      <c r="BG174" s="0"/>
      <c r="BH174" s="0"/>
    </row>
    <row r="175" s="27" customFormat="true" ht="24" hidden="false" customHeight="true" outlineLevel="0" collapsed="false">
      <c r="A175" s="27" t="s">
        <v>50</v>
      </c>
      <c r="B175" s="27" t="s">
        <v>50</v>
      </c>
      <c r="C175" s="3" t="s">
        <v>51</v>
      </c>
      <c r="D175" s="3"/>
      <c r="E175" s="27" t="s">
        <v>55</v>
      </c>
      <c r="F175" s="27" t="s">
        <v>55</v>
      </c>
      <c r="G175" s="3" t="s">
        <v>56</v>
      </c>
      <c r="H175" s="27" t="s">
        <v>52</v>
      </c>
      <c r="I175" s="23" t="s">
        <v>69</v>
      </c>
      <c r="J175" s="23" t="s">
        <v>52</v>
      </c>
      <c r="K175" s="23" t="s">
        <v>70</v>
      </c>
      <c r="L175" s="27" t="s">
        <v>71</v>
      </c>
      <c r="M175" s="27" t="s">
        <v>72</v>
      </c>
      <c r="N175" s="27" t="s">
        <v>183</v>
      </c>
      <c r="O175" s="27" t="s">
        <v>183</v>
      </c>
      <c r="P175" s="3" t="s">
        <v>417</v>
      </c>
      <c r="Q175" s="27" t="s">
        <v>504</v>
      </c>
      <c r="R175" s="3" t="s">
        <v>504</v>
      </c>
      <c r="S175" s="3" t="s">
        <v>505</v>
      </c>
      <c r="T175" s="27" t="n">
        <v>30</v>
      </c>
      <c r="U175" s="22" t="s">
        <v>77</v>
      </c>
      <c r="V175" s="27" t="s">
        <v>328</v>
      </c>
      <c r="W175" s="27" t="s">
        <v>506</v>
      </c>
      <c r="Y175" s="27" t="s">
        <v>80</v>
      </c>
      <c r="AF175" s="27" t="n">
        <f aca="false">COUNTIF($AE$2:$AE$218,AE175)</f>
        <v>0</v>
      </c>
      <c r="AH175" s="3"/>
      <c r="AY175" s="22"/>
      <c r="AZ175" s="22"/>
      <c r="BA175" s="22"/>
      <c r="BB175" s="22"/>
      <c r="BC175" s="22"/>
      <c r="BD175" s="22"/>
      <c r="BE175" s="22"/>
      <c r="BF175" s="22"/>
      <c r="BG175" s="0"/>
      <c r="BH175" s="0"/>
    </row>
    <row r="176" s="27" customFormat="true" ht="24" hidden="false" customHeight="true" outlineLevel="0" collapsed="false">
      <c r="A176" s="27" t="s">
        <v>50</v>
      </c>
      <c r="B176" s="27" t="s">
        <v>50</v>
      </c>
      <c r="C176" s="3" t="s">
        <v>51</v>
      </c>
      <c r="D176" s="3"/>
      <c r="E176" s="27" t="s">
        <v>55</v>
      </c>
      <c r="F176" s="27" t="s">
        <v>55</v>
      </c>
      <c r="G176" s="3" t="s">
        <v>56</v>
      </c>
      <c r="H176" s="27" t="s">
        <v>52</v>
      </c>
      <c r="I176" s="23" t="s">
        <v>69</v>
      </c>
      <c r="J176" s="23" t="s">
        <v>52</v>
      </c>
      <c r="K176" s="23" t="s">
        <v>70</v>
      </c>
      <c r="L176" s="27" t="s">
        <v>71</v>
      </c>
      <c r="M176" s="27" t="s">
        <v>72</v>
      </c>
      <c r="N176" s="27" t="s">
        <v>183</v>
      </c>
      <c r="O176" s="27" t="s">
        <v>183</v>
      </c>
      <c r="P176" s="3" t="s">
        <v>417</v>
      </c>
      <c r="Q176" s="27" t="s">
        <v>507</v>
      </c>
      <c r="R176" s="3" t="s">
        <v>507</v>
      </c>
      <c r="S176" s="3" t="s">
        <v>508</v>
      </c>
      <c r="T176" s="27" t="n">
        <v>31</v>
      </c>
      <c r="U176" s="22" t="s">
        <v>77</v>
      </c>
      <c r="V176" s="27" t="s">
        <v>85</v>
      </c>
      <c r="W176" s="27" t="s">
        <v>509</v>
      </c>
      <c r="Y176" s="27" t="s">
        <v>80</v>
      </c>
      <c r="AF176" s="27" t="n">
        <f aca="false">COUNTIF($AE$2:$AE$218,AE176)</f>
        <v>0</v>
      </c>
      <c r="AH176" s="3"/>
      <c r="AY176" s="22"/>
      <c r="AZ176" s="22"/>
      <c r="BA176" s="22"/>
      <c r="BB176" s="22"/>
      <c r="BC176" s="22"/>
      <c r="BD176" s="22"/>
      <c r="BE176" s="22"/>
      <c r="BF176" s="22"/>
      <c r="BG176" s="0"/>
      <c r="BH176" s="0"/>
    </row>
    <row r="177" s="27" customFormat="true" ht="24" hidden="false" customHeight="true" outlineLevel="0" collapsed="false">
      <c r="A177" s="27" t="s">
        <v>50</v>
      </c>
      <c r="B177" s="27" t="s">
        <v>50</v>
      </c>
      <c r="C177" s="3" t="s">
        <v>51</v>
      </c>
      <c r="D177" s="3"/>
      <c r="E177" s="27" t="s">
        <v>55</v>
      </c>
      <c r="F177" s="27" t="s">
        <v>55</v>
      </c>
      <c r="G177" s="3" t="s">
        <v>56</v>
      </c>
      <c r="H177" s="27" t="s">
        <v>52</v>
      </c>
      <c r="I177" s="23" t="s">
        <v>69</v>
      </c>
      <c r="J177" s="23" t="s">
        <v>52</v>
      </c>
      <c r="K177" s="23" t="s">
        <v>70</v>
      </c>
      <c r="L177" s="27" t="s">
        <v>71</v>
      </c>
      <c r="M177" s="27" t="s">
        <v>72</v>
      </c>
      <c r="N177" s="27" t="s">
        <v>183</v>
      </c>
      <c r="O177" s="27" t="s">
        <v>183</v>
      </c>
      <c r="P177" s="3" t="s">
        <v>417</v>
      </c>
      <c r="Q177" s="27" t="s">
        <v>510</v>
      </c>
      <c r="R177" s="3" t="s">
        <v>510</v>
      </c>
      <c r="S177" s="3" t="s">
        <v>511</v>
      </c>
      <c r="T177" s="27" t="n">
        <v>32</v>
      </c>
      <c r="U177" s="22" t="s">
        <v>77</v>
      </c>
      <c r="V177" s="27" t="s">
        <v>328</v>
      </c>
      <c r="Y177" s="27" t="s">
        <v>80</v>
      </c>
      <c r="AF177" s="27" t="n">
        <f aca="false">COUNTIF($AE$2:$AE$218,AE177)</f>
        <v>0</v>
      </c>
      <c r="AH177" s="3"/>
      <c r="AY177" s="22"/>
      <c r="AZ177" s="22"/>
      <c r="BA177" s="22"/>
      <c r="BB177" s="22"/>
      <c r="BC177" s="22"/>
      <c r="BD177" s="22"/>
      <c r="BE177" s="22"/>
      <c r="BF177" s="22"/>
      <c r="BG177" s="0"/>
      <c r="BH177" s="0"/>
    </row>
    <row r="178" s="27" customFormat="true" ht="24" hidden="false" customHeight="true" outlineLevel="0" collapsed="false">
      <c r="A178" s="27" t="s">
        <v>50</v>
      </c>
      <c r="B178" s="27" t="s">
        <v>50</v>
      </c>
      <c r="C178" s="3" t="s">
        <v>51</v>
      </c>
      <c r="D178" s="3"/>
      <c r="E178" s="27" t="s">
        <v>55</v>
      </c>
      <c r="F178" s="27" t="s">
        <v>55</v>
      </c>
      <c r="G178" s="3" t="s">
        <v>56</v>
      </c>
      <c r="H178" s="27" t="s">
        <v>52</v>
      </c>
      <c r="I178" s="23" t="s">
        <v>69</v>
      </c>
      <c r="J178" s="23" t="s">
        <v>52</v>
      </c>
      <c r="K178" s="23" t="s">
        <v>70</v>
      </c>
      <c r="L178" s="27" t="s">
        <v>71</v>
      </c>
      <c r="M178" s="27" t="s">
        <v>72</v>
      </c>
      <c r="N178" s="27" t="s">
        <v>183</v>
      </c>
      <c r="O178" s="27" t="s">
        <v>183</v>
      </c>
      <c r="P178" s="3" t="s">
        <v>417</v>
      </c>
      <c r="Q178" s="27" t="s">
        <v>512</v>
      </c>
      <c r="R178" s="3" t="s">
        <v>512</v>
      </c>
      <c r="S178" s="3" t="s">
        <v>513</v>
      </c>
      <c r="T178" s="27" t="n">
        <v>33</v>
      </c>
      <c r="U178" s="22" t="s">
        <v>77</v>
      </c>
      <c r="V178" s="27" t="s">
        <v>85</v>
      </c>
      <c r="Y178" s="27" t="s">
        <v>80</v>
      </c>
      <c r="AF178" s="27" t="n">
        <f aca="false">COUNTIF($AE$2:$AE$218,AE178)</f>
        <v>0</v>
      </c>
      <c r="AH178" s="3"/>
      <c r="AY178" s="22"/>
      <c r="AZ178" s="22"/>
      <c r="BA178" s="22"/>
      <c r="BB178" s="22"/>
      <c r="BC178" s="22"/>
      <c r="BD178" s="22"/>
      <c r="BE178" s="22"/>
      <c r="BF178" s="22"/>
      <c r="BG178" s="0"/>
      <c r="BH178" s="0"/>
    </row>
    <row r="179" s="27" customFormat="true" ht="24" hidden="false" customHeight="true" outlineLevel="0" collapsed="false">
      <c r="A179" s="27" t="s">
        <v>50</v>
      </c>
      <c r="B179" s="27" t="s">
        <v>50</v>
      </c>
      <c r="C179" s="3" t="s">
        <v>51</v>
      </c>
      <c r="D179" s="3"/>
      <c r="E179" s="27" t="s">
        <v>55</v>
      </c>
      <c r="F179" s="27" t="s">
        <v>55</v>
      </c>
      <c r="G179" s="3" t="s">
        <v>56</v>
      </c>
      <c r="H179" s="27" t="s">
        <v>52</v>
      </c>
      <c r="I179" s="23" t="s">
        <v>69</v>
      </c>
      <c r="J179" s="23" t="s">
        <v>52</v>
      </c>
      <c r="K179" s="23" t="s">
        <v>70</v>
      </c>
      <c r="L179" s="27" t="s">
        <v>71</v>
      </c>
      <c r="M179" s="27" t="s">
        <v>72</v>
      </c>
      <c r="N179" s="27" t="s">
        <v>183</v>
      </c>
      <c r="O179" s="27" t="s">
        <v>183</v>
      </c>
      <c r="P179" s="3" t="s">
        <v>417</v>
      </c>
      <c r="Q179" s="27" t="s">
        <v>308</v>
      </c>
      <c r="R179" s="3" t="s">
        <v>308</v>
      </c>
      <c r="S179" s="3" t="s">
        <v>514</v>
      </c>
      <c r="T179" s="27" t="n">
        <v>34</v>
      </c>
      <c r="U179" s="22" t="s">
        <v>77</v>
      </c>
      <c r="V179" s="27" t="s">
        <v>85</v>
      </c>
      <c r="W179" s="27" t="s">
        <v>515</v>
      </c>
      <c r="Y179" s="27" t="s">
        <v>80</v>
      </c>
      <c r="AF179" s="27" t="n">
        <f aca="false">COUNTIF($AE$2:$AE$218,AE179)</f>
        <v>0</v>
      </c>
      <c r="AH179" s="3"/>
      <c r="AY179" s="22"/>
      <c r="AZ179" s="22"/>
      <c r="BA179" s="22"/>
      <c r="BB179" s="22"/>
      <c r="BC179" s="22"/>
      <c r="BD179" s="22"/>
      <c r="BE179" s="22"/>
      <c r="BF179" s="22"/>
      <c r="BG179" s="0"/>
      <c r="BH179" s="0"/>
    </row>
    <row r="180" s="27" customFormat="true" ht="24" hidden="false" customHeight="true" outlineLevel="0" collapsed="false">
      <c r="A180" s="27" t="s">
        <v>50</v>
      </c>
      <c r="B180" s="27" t="s">
        <v>50</v>
      </c>
      <c r="C180" s="3" t="s">
        <v>51</v>
      </c>
      <c r="D180" s="3"/>
      <c r="E180" s="27" t="s">
        <v>55</v>
      </c>
      <c r="F180" s="27" t="s">
        <v>55</v>
      </c>
      <c r="G180" s="3" t="s">
        <v>56</v>
      </c>
      <c r="H180" s="27" t="s">
        <v>52</v>
      </c>
      <c r="I180" s="23" t="s">
        <v>69</v>
      </c>
      <c r="J180" s="23" t="s">
        <v>52</v>
      </c>
      <c r="K180" s="23" t="s">
        <v>70</v>
      </c>
      <c r="L180" s="27" t="s">
        <v>71</v>
      </c>
      <c r="M180" s="27" t="s">
        <v>72</v>
      </c>
      <c r="N180" s="27" t="s">
        <v>183</v>
      </c>
      <c r="O180" s="27" t="s">
        <v>183</v>
      </c>
      <c r="P180" s="3" t="s">
        <v>417</v>
      </c>
      <c r="Q180" s="27" t="s">
        <v>310</v>
      </c>
      <c r="R180" s="3" t="s">
        <v>310</v>
      </c>
      <c r="S180" s="3" t="s">
        <v>516</v>
      </c>
      <c r="T180" s="27" t="n">
        <v>35</v>
      </c>
      <c r="U180" s="22" t="s">
        <v>77</v>
      </c>
      <c r="V180" s="27" t="s">
        <v>328</v>
      </c>
      <c r="Y180" s="27" t="s">
        <v>80</v>
      </c>
      <c r="AF180" s="27" t="n">
        <f aca="false">COUNTIF($AE$2:$AE$218,AE180)</f>
        <v>0</v>
      </c>
      <c r="AH180" s="3"/>
      <c r="AY180" s="22"/>
      <c r="AZ180" s="22"/>
      <c r="BA180" s="22"/>
      <c r="BB180" s="22"/>
      <c r="BC180" s="22"/>
      <c r="BD180" s="22"/>
      <c r="BE180" s="22"/>
      <c r="BF180" s="22"/>
      <c r="BG180" s="0"/>
      <c r="BH180" s="0"/>
    </row>
    <row r="181" s="27" customFormat="true" ht="24" hidden="false" customHeight="true" outlineLevel="0" collapsed="false">
      <c r="A181" s="27" t="s">
        <v>50</v>
      </c>
      <c r="B181" s="27" t="s">
        <v>50</v>
      </c>
      <c r="C181" s="3" t="s">
        <v>51</v>
      </c>
      <c r="D181" s="3"/>
      <c r="E181" s="27" t="s">
        <v>55</v>
      </c>
      <c r="F181" s="27" t="s">
        <v>55</v>
      </c>
      <c r="G181" s="3" t="s">
        <v>56</v>
      </c>
      <c r="H181" s="27" t="s">
        <v>52</v>
      </c>
      <c r="I181" s="23" t="s">
        <v>69</v>
      </c>
      <c r="J181" s="23" t="s">
        <v>52</v>
      </c>
      <c r="K181" s="23" t="s">
        <v>70</v>
      </c>
      <c r="L181" s="27" t="s">
        <v>71</v>
      </c>
      <c r="M181" s="27" t="s">
        <v>72</v>
      </c>
      <c r="N181" s="27" t="s">
        <v>183</v>
      </c>
      <c r="O181" s="27" t="s">
        <v>183</v>
      </c>
      <c r="P181" s="3" t="s">
        <v>417</v>
      </c>
      <c r="Q181" s="27" t="s">
        <v>517</v>
      </c>
      <c r="R181" s="3" t="s">
        <v>517</v>
      </c>
      <c r="S181" s="3" t="s">
        <v>518</v>
      </c>
      <c r="T181" s="27" t="n">
        <v>36</v>
      </c>
      <c r="U181" s="22" t="s">
        <v>77</v>
      </c>
      <c r="V181" s="27" t="s">
        <v>85</v>
      </c>
      <c r="Y181" s="27" t="s">
        <v>80</v>
      </c>
      <c r="AF181" s="27" t="n">
        <f aca="false">COUNTIF($AE$2:$AE$218,AE181)</f>
        <v>0</v>
      </c>
      <c r="AH181" s="3"/>
      <c r="AY181" s="22"/>
      <c r="AZ181" s="22"/>
      <c r="BA181" s="22"/>
      <c r="BB181" s="22"/>
      <c r="BC181" s="22"/>
      <c r="BD181" s="22"/>
      <c r="BE181" s="22"/>
      <c r="BF181" s="22"/>
      <c r="BG181" s="0"/>
      <c r="BH181" s="0"/>
    </row>
    <row r="182" s="27" customFormat="true" ht="24" hidden="false" customHeight="true" outlineLevel="0" collapsed="false">
      <c r="A182" s="27" t="s">
        <v>50</v>
      </c>
      <c r="B182" s="27" t="s">
        <v>50</v>
      </c>
      <c r="C182" s="3" t="s">
        <v>51</v>
      </c>
      <c r="D182" s="3"/>
      <c r="E182" s="27" t="s">
        <v>55</v>
      </c>
      <c r="F182" s="27" t="s">
        <v>55</v>
      </c>
      <c r="G182" s="3" t="s">
        <v>56</v>
      </c>
      <c r="H182" s="27" t="s">
        <v>52</v>
      </c>
      <c r="I182" s="23" t="s">
        <v>69</v>
      </c>
      <c r="J182" s="23" t="s">
        <v>52</v>
      </c>
      <c r="K182" s="23" t="s">
        <v>70</v>
      </c>
      <c r="L182" s="27" t="s">
        <v>71</v>
      </c>
      <c r="M182" s="27" t="s">
        <v>72</v>
      </c>
      <c r="N182" s="27" t="s">
        <v>183</v>
      </c>
      <c r="O182" s="27" t="s">
        <v>183</v>
      </c>
      <c r="P182" s="3" t="s">
        <v>417</v>
      </c>
      <c r="Q182" s="27" t="s">
        <v>519</v>
      </c>
      <c r="R182" s="3" t="s">
        <v>519</v>
      </c>
      <c r="S182" s="3" t="s">
        <v>520</v>
      </c>
      <c r="T182" s="27" t="n">
        <v>37</v>
      </c>
      <c r="U182" s="22" t="s">
        <v>77</v>
      </c>
      <c r="V182" s="27" t="s">
        <v>85</v>
      </c>
      <c r="Y182" s="27" t="s">
        <v>80</v>
      </c>
      <c r="AF182" s="27" t="n">
        <f aca="false">COUNTIF($AE$2:$AE$218,AE182)</f>
        <v>0</v>
      </c>
      <c r="AH182" s="3"/>
      <c r="AY182" s="22"/>
      <c r="AZ182" s="22"/>
      <c r="BA182" s="22"/>
      <c r="BB182" s="22"/>
      <c r="BC182" s="22"/>
      <c r="BD182" s="22"/>
      <c r="BE182" s="22"/>
      <c r="BF182" s="22"/>
      <c r="BG182" s="0"/>
      <c r="BH182" s="0"/>
    </row>
    <row r="183" s="27" customFormat="true" ht="24" hidden="false" customHeight="true" outlineLevel="0" collapsed="false">
      <c r="A183" s="27" t="s">
        <v>50</v>
      </c>
      <c r="B183" s="27" t="s">
        <v>50</v>
      </c>
      <c r="C183" s="3" t="s">
        <v>51</v>
      </c>
      <c r="D183" s="3"/>
      <c r="E183" s="27" t="s">
        <v>55</v>
      </c>
      <c r="F183" s="27" t="s">
        <v>55</v>
      </c>
      <c r="G183" s="3" t="s">
        <v>56</v>
      </c>
      <c r="H183" s="27" t="s">
        <v>52</v>
      </c>
      <c r="I183" s="23" t="s">
        <v>69</v>
      </c>
      <c r="J183" s="23" t="s">
        <v>52</v>
      </c>
      <c r="K183" s="23" t="s">
        <v>70</v>
      </c>
      <c r="L183" s="27" t="s">
        <v>71</v>
      </c>
      <c r="M183" s="27" t="s">
        <v>72</v>
      </c>
      <c r="N183" s="27" t="s">
        <v>183</v>
      </c>
      <c r="O183" s="27" t="s">
        <v>183</v>
      </c>
      <c r="P183" s="3" t="s">
        <v>417</v>
      </c>
      <c r="Q183" s="27" t="s">
        <v>521</v>
      </c>
      <c r="R183" s="3" t="s">
        <v>521</v>
      </c>
      <c r="S183" s="3" t="s">
        <v>522</v>
      </c>
      <c r="T183" s="27" t="n">
        <v>38</v>
      </c>
      <c r="U183" s="22" t="s">
        <v>77</v>
      </c>
      <c r="V183" s="27" t="s">
        <v>85</v>
      </c>
      <c r="W183" s="27" t="s">
        <v>523</v>
      </c>
      <c r="Y183" s="27" t="s">
        <v>80</v>
      </c>
      <c r="AF183" s="27" t="n">
        <f aca="false">COUNTIF($AE$2:$AE$218,AE183)</f>
        <v>0</v>
      </c>
      <c r="AH183" s="3"/>
      <c r="AY183" s="22"/>
      <c r="AZ183" s="22"/>
      <c r="BA183" s="22"/>
      <c r="BB183" s="22"/>
      <c r="BC183" s="22"/>
      <c r="BD183" s="22"/>
      <c r="BE183" s="22"/>
      <c r="BF183" s="22"/>
      <c r="BG183" s="0"/>
      <c r="BH183" s="0"/>
    </row>
    <row r="184" s="27" customFormat="true" ht="24" hidden="false" customHeight="true" outlineLevel="0" collapsed="false">
      <c r="A184" s="27" t="s">
        <v>50</v>
      </c>
      <c r="B184" s="27" t="s">
        <v>50</v>
      </c>
      <c r="C184" s="3" t="s">
        <v>51</v>
      </c>
      <c r="D184" s="3"/>
      <c r="E184" s="27" t="s">
        <v>55</v>
      </c>
      <c r="F184" s="27" t="s">
        <v>55</v>
      </c>
      <c r="G184" s="3" t="s">
        <v>56</v>
      </c>
      <c r="H184" s="27" t="s">
        <v>52</v>
      </c>
      <c r="I184" s="23" t="s">
        <v>69</v>
      </c>
      <c r="J184" s="23" t="s">
        <v>52</v>
      </c>
      <c r="K184" s="23" t="s">
        <v>70</v>
      </c>
      <c r="L184" s="27" t="s">
        <v>71</v>
      </c>
      <c r="M184" s="27" t="s">
        <v>72</v>
      </c>
      <c r="N184" s="27" t="s">
        <v>183</v>
      </c>
      <c r="O184" s="27" t="s">
        <v>183</v>
      </c>
      <c r="P184" s="3" t="s">
        <v>417</v>
      </c>
      <c r="Q184" s="27" t="s">
        <v>524</v>
      </c>
      <c r="R184" s="3" t="s">
        <v>524</v>
      </c>
      <c r="S184" s="3" t="s">
        <v>525</v>
      </c>
      <c r="T184" s="27" t="n">
        <v>39</v>
      </c>
      <c r="U184" s="22" t="s">
        <v>77</v>
      </c>
      <c r="V184" s="27" t="s">
        <v>85</v>
      </c>
      <c r="W184" s="27" t="s">
        <v>526</v>
      </c>
      <c r="Y184" s="27" t="s">
        <v>80</v>
      </c>
      <c r="AF184" s="27" t="n">
        <f aca="false">COUNTIF($AE$2:$AE$218,AE184)</f>
        <v>0</v>
      </c>
      <c r="AH184" s="3"/>
      <c r="AY184" s="22"/>
      <c r="AZ184" s="22"/>
      <c r="BA184" s="22"/>
      <c r="BB184" s="22"/>
      <c r="BC184" s="22"/>
      <c r="BD184" s="22"/>
      <c r="BE184" s="22"/>
      <c r="BF184" s="22"/>
      <c r="BG184" s="0"/>
      <c r="BH184" s="0"/>
    </row>
    <row r="185" s="27" customFormat="true" ht="24" hidden="false" customHeight="true" outlineLevel="0" collapsed="false">
      <c r="A185" s="27" t="s">
        <v>50</v>
      </c>
      <c r="B185" s="27" t="s">
        <v>50</v>
      </c>
      <c r="C185" s="3" t="s">
        <v>51</v>
      </c>
      <c r="D185" s="3"/>
      <c r="E185" s="27" t="s">
        <v>55</v>
      </c>
      <c r="F185" s="27" t="s">
        <v>55</v>
      </c>
      <c r="G185" s="3" t="s">
        <v>56</v>
      </c>
      <c r="H185" s="27" t="s">
        <v>52</v>
      </c>
      <c r="I185" s="23" t="s">
        <v>69</v>
      </c>
      <c r="J185" s="23" t="s">
        <v>52</v>
      </c>
      <c r="K185" s="23" t="s">
        <v>70</v>
      </c>
      <c r="L185" s="27" t="s">
        <v>71</v>
      </c>
      <c r="M185" s="27" t="s">
        <v>72</v>
      </c>
      <c r="N185" s="27" t="s">
        <v>183</v>
      </c>
      <c r="O185" s="27" t="s">
        <v>183</v>
      </c>
      <c r="P185" s="3" t="s">
        <v>417</v>
      </c>
      <c r="Q185" s="27" t="s">
        <v>527</v>
      </c>
      <c r="R185" s="3" t="s">
        <v>527</v>
      </c>
      <c r="S185" s="3" t="s">
        <v>528</v>
      </c>
      <c r="T185" s="27" t="n">
        <v>40</v>
      </c>
      <c r="U185" s="22" t="s">
        <v>77</v>
      </c>
      <c r="V185" s="27" t="s">
        <v>149</v>
      </c>
      <c r="W185" s="27" t="s">
        <v>529</v>
      </c>
      <c r="Y185" s="27" t="s">
        <v>80</v>
      </c>
      <c r="AF185" s="27" t="n">
        <f aca="false">COUNTIF($AE$2:$AE$218,AE185)</f>
        <v>0</v>
      </c>
      <c r="AH185" s="3"/>
      <c r="AY185" s="22"/>
      <c r="AZ185" s="22"/>
      <c r="BA185" s="22"/>
      <c r="BB185" s="22"/>
      <c r="BC185" s="22"/>
      <c r="BD185" s="22"/>
      <c r="BE185" s="22"/>
      <c r="BF185" s="22"/>
      <c r="BG185" s="0"/>
      <c r="BH185" s="0"/>
    </row>
    <row r="186" s="27" customFormat="true" ht="24" hidden="false" customHeight="true" outlineLevel="0" collapsed="false">
      <c r="A186" s="27" t="s">
        <v>50</v>
      </c>
      <c r="B186" s="27" t="s">
        <v>50</v>
      </c>
      <c r="C186" s="3" t="s">
        <v>51</v>
      </c>
      <c r="D186" s="3"/>
      <c r="E186" s="27" t="s">
        <v>55</v>
      </c>
      <c r="F186" s="27" t="s">
        <v>55</v>
      </c>
      <c r="G186" s="3" t="s">
        <v>56</v>
      </c>
      <c r="H186" s="27" t="s">
        <v>52</v>
      </c>
      <c r="I186" s="23" t="s">
        <v>69</v>
      </c>
      <c r="J186" s="23" t="s">
        <v>52</v>
      </c>
      <c r="K186" s="23" t="s">
        <v>70</v>
      </c>
      <c r="L186" s="27" t="s">
        <v>71</v>
      </c>
      <c r="M186" s="27" t="s">
        <v>72</v>
      </c>
      <c r="N186" s="27" t="s">
        <v>183</v>
      </c>
      <c r="O186" s="27" t="s">
        <v>183</v>
      </c>
      <c r="P186" s="3" t="s">
        <v>417</v>
      </c>
      <c r="Q186" s="27" t="s">
        <v>530</v>
      </c>
      <c r="R186" s="3" t="s">
        <v>530</v>
      </c>
      <c r="S186" s="3" t="s">
        <v>531</v>
      </c>
      <c r="T186" s="27" t="n">
        <v>41</v>
      </c>
      <c r="U186" s="22" t="s">
        <v>77</v>
      </c>
      <c r="V186" s="27" t="s">
        <v>85</v>
      </c>
      <c r="W186" s="27" t="s">
        <v>532</v>
      </c>
      <c r="Y186" s="27" t="s">
        <v>80</v>
      </c>
      <c r="AF186" s="27" t="n">
        <v>0</v>
      </c>
      <c r="AH186" s="3"/>
      <c r="AJ186" s="4"/>
      <c r="AK186" s="4"/>
      <c r="AL186" s="4"/>
      <c r="AM186" s="4"/>
      <c r="AR186" s="4"/>
      <c r="AS186" s="4"/>
      <c r="AT186" s="4"/>
      <c r="AU186" s="4"/>
      <c r="AY186" s="22"/>
      <c r="AZ186" s="22"/>
      <c r="BA186" s="22"/>
      <c r="BB186" s="22"/>
      <c r="BC186" s="22"/>
      <c r="BD186" s="22"/>
      <c r="BE186" s="22"/>
      <c r="BF186" s="22"/>
      <c r="BG186" s="0"/>
      <c r="BH186" s="0"/>
    </row>
    <row r="187" s="27" customFormat="true" ht="24" hidden="false" customHeight="true" outlineLevel="0" collapsed="false">
      <c r="A187" s="27" t="s">
        <v>50</v>
      </c>
      <c r="B187" s="27" t="s">
        <v>50</v>
      </c>
      <c r="C187" s="3" t="s">
        <v>51</v>
      </c>
      <c r="D187" s="3"/>
      <c r="E187" s="27" t="s">
        <v>55</v>
      </c>
      <c r="F187" s="27" t="s">
        <v>55</v>
      </c>
      <c r="G187" s="3" t="s">
        <v>56</v>
      </c>
      <c r="I187" s="23" t="s">
        <v>69</v>
      </c>
      <c r="J187" s="23" t="s">
        <v>52</v>
      </c>
      <c r="K187" s="23" t="s">
        <v>70</v>
      </c>
      <c r="L187" s="27" t="s">
        <v>71</v>
      </c>
      <c r="M187" s="27" t="s">
        <v>72</v>
      </c>
      <c r="N187" s="27" t="s">
        <v>183</v>
      </c>
      <c r="O187" s="27" t="s">
        <v>183</v>
      </c>
      <c r="P187" s="3" t="s">
        <v>417</v>
      </c>
      <c r="Q187" s="27" t="s">
        <v>533</v>
      </c>
      <c r="R187" s="27" t="s">
        <v>533</v>
      </c>
      <c r="S187" s="3" t="s">
        <v>534</v>
      </c>
      <c r="T187" s="27" t="n">
        <v>42</v>
      </c>
      <c r="U187" s="22" t="s">
        <v>77</v>
      </c>
      <c r="V187" s="27" t="s">
        <v>85</v>
      </c>
      <c r="AH187" s="3"/>
      <c r="AJ187" s="4"/>
      <c r="AK187" s="4"/>
      <c r="AL187" s="4"/>
      <c r="AM187" s="4"/>
      <c r="AR187" s="4"/>
      <c r="AS187" s="4"/>
      <c r="AT187" s="4"/>
      <c r="AU187" s="4"/>
      <c r="AY187" s="22"/>
      <c r="AZ187" s="22"/>
      <c r="BA187" s="22"/>
      <c r="BB187" s="22"/>
      <c r="BC187" s="22"/>
      <c r="BD187" s="22"/>
      <c r="BE187" s="22"/>
      <c r="BF187" s="22"/>
      <c r="BG187" s="0"/>
      <c r="BH187" s="0"/>
    </row>
    <row r="188" s="27" customFormat="true" ht="24" hidden="false" customHeight="true" outlineLevel="0" collapsed="false">
      <c r="A188" s="27" t="s">
        <v>50</v>
      </c>
      <c r="B188" s="27" t="s">
        <v>50</v>
      </c>
      <c r="C188" s="3" t="s">
        <v>51</v>
      </c>
      <c r="D188" s="3"/>
      <c r="E188" s="27" t="s">
        <v>55</v>
      </c>
      <c r="F188" s="27" t="s">
        <v>55</v>
      </c>
      <c r="G188" s="3" t="s">
        <v>56</v>
      </c>
      <c r="I188" s="23" t="s">
        <v>69</v>
      </c>
      <c r="J188" s="23" t="s">
        <v>52</v>
      </c>
      <c r="K188" s="23" t="s">
        <v>70</v>
      </c>
      <c r="L188" s="27" t="s">
        <v>71</v>
      </c>
      <c r="M188" s="27" t="s">
        <v>72</v>
      </c>
      <c r="N188" s="27" t="s">
        <v>183</v>
      </c>
      <c r="O188" s="27" t="s">
        <v>183</v>
      </c>
      <c r="P188" s="3" t="s">
        <v>417</v>
      </c>
      <c r="Q188" s="27" t="s">
        <v>535</v>
      </c>
      <c r="R188" s="27" t="s">
        <v>535</v>
      </c>
      <c r="S188" s="3" t="s">
        <v>536</v>
      </c>
      <c r="T188" s="27" t="n">
        <v>43</v>
      </c>
      <c r="U188" s="22" t="s">
        <v>77</v>
      </c>
      <c r="V188" s="27" t="s">
        <v>85</v>
      </c>
      <c r="AH188" s="3"/>
      <c r="AJ188" s="4"/>
      <c r="AK188" s="4"/>
      <c r="AL188" s="4"/>
      <c r="AM188" s="4"/>
      <c r="AR188" s="4"/>
      <c r="AS188" s="4"/>
      <c r="AT188" s="4"/>
      <c r="AU188" s="4"/>
      <c r="AY188" s="22"/>
      <c r="AZ188" s="22"/>
      <c r="BA188" s="22"/>
      <c r="BB188" s="22"/>
      <c r="BC188" s="22"/>
      <c r="BD188" s="22"/>
      <c r="BE188" s="22"/>
      <c r="BF188" s="22"/>
      <c r="BG188" s="0"/>
      <c r="BH188" s="0"/>
    </row>
    <row r="189" s="27" customFormat="true" ht="24" hidden="false" customHeight="true" outlineLevel="0" collapsed="false">
      <c r="A189" s="27" t="s">
        <v>50</v>
      </c>
      <c r="B189" s="27" t="s">
        <v>50</v>
      </c>
      <c r="C189" s="3" t="s">
        <v>51</v>
      </c>
      <c r="D189" s="3"/>
      <c r="E189" s="27" t="s">
        <v>55</v>
      </c>
      <c r="F189" s="27" t="s">
        <v>55</v>
      </c>
      <c r="G189" s="3" t="s">
        <v>56</v>
      </c>
      <c r="I189" s="23" t="s">
        <v>69</v>
      </c>
      <c r="J189" s="23" t="s">
        <v>52</v>
      </c>
      <c r="K189" s="23" t="s">
        <v>70</v>
      </c>
      <c r="L189" s="27" t="s">
        <v>71</v>
      </c>
      <c r="M189" s="27" t="s">
        <v>72</v>
      </c>
      <c r="N189" s="27" t="s">
        <v>183</v>
      </c>
      <c r="O189" s="27" t="s">
        <v>183</v>
      </c>
      <c r="P189" s="3" t="s">
        <v>417</v>
      </c>
      <c r="Q189" s="27" t="s">
        <v>537</v>
      </c>
      <c r="R189" s="27" t="s">
        <v>538</v>
      </c>
      <c r="S189" s="3" t="s">
        <v>539</v>
      </c>
      <c r="T189" s="27" t="n">
        <v>44</v>
      </c>
      <c r="U189" s="22" t="s">
        <v>77</v>
      </c>
      <c r="V189" s="27" t="s">
        <v>328</v>
      </c>
      <c r="AH189" s="3"/>
      <c r="AJ189" s="4"/>
      <c r="AK189" s="4"/>
      <c r="AL189" s="4"/>
      <c r="AM189" s="4"/>
      <c r="AR189" s="4"/>
      <c r="AS189" s="4"/>
      <c r="AT189" s="4"/>
      <c r="AU189" s="4"/>
      <c r="AY189" s="22"/>
      <c r="AZ189" s="22"/>
      <c r="BA189" s="22"/>
      <c r="BB189" s="22"/>
      <c r="BC189" s="22"/>
      <c r="BD189" s="22"/>
      <c r="BE189" s="22"/>
      <c r="BF189" s="22"/>
      <c r="BG189" s="0"/>
      <c r="BH189" s="0"/>
    </row>
    <row r="190" s="27" customFormat="true" ht="24" hidden="false" customHeight="true" outlineLevel="0" collapsed="false">
      <c r="A190" s="27" t="s">
        <v>50</v>
      </c>
      <c r="B190" s="27" t="s">
        <v>50</v>
      </c>
      <c r="C190" s="3" t="s">
        <v>51</v>
      </c>
      <c r="D190" s="3"/>
      <c r="E190" s="27" t="s">
        <v>55</v>
      </c>
      <c r="F190" s="27" t="s">
        <v>55</v>
      </c>
      <c r="G190" s="3" t="s">
        <v>56</v>
      </c>
      <c r="I190" s="23" t="s">
        <v>69</v>
      </c>
      <c r="J190" s="23" t="s">
        <v>52</v>
      </c>
      <c r="K190" s="23" t="s">
        <v>70</v>
      </c>
      <c r="L190" s="27" t="s">
        <v>71</v>
      </c>
      <c r="M190" s="27" t="s">
        <v>72</v>
      </c>
      <c r="N190" s="27" t="s">
        <v>183</v>
      </c>
      <c r="O190" s="27" t="s">
        <v>183</v>
      </c>
      <c r="P190" s="3" t="s">
        <v>417</v>
      </c>
      <c r="Q190" s="27" t="s">
        <v>540</v>
      </c>
      <c r="R190" s="27" t="s">
        <v>541</v>
      </c>
      <c r="S190" s="3" t="s">
        <v>542</v>
      </c>
      <c r="T190" s="27" t="n">
        <v>45</v>
      </c>
      <c r="U190" s="22" t="s">
        <v>77</v>
      </c>
      <c r="V190" s="27" t="s">
        <v>85</v>
      </c>
      <c r="AH190" s="3"/>
      <c r="AJ190" s="4"/>
      <c r="AK190" s="4"/>
      <c r="AL190" s="4"/>
      <c r="AM190" s="4"/>
      <c r="AR190" s="4"/>
      <c r="AS190" s="4"/>
      <c r="AT190" s="4"/>
      <c r="AU190" s="4"/>
      <c r="AY190" s="22"/>
      <c r="AZ190" s="22"/>
      <c r="BA190" s="22"/>
      <c r="BB190" s="22"/>
      <c r="BC190" s="22"/>
      <c r="BD190" s="22"/>
      <c r="BE190" s="22"/>
      <c r="BF190" s="22"/>
      <c r="BG190" s="0"/>
      <c r="BH190" s="0"/>
    </row>
    <row r="191" s="23" customFormat="true" ht="24" hidden="false" customHeight="true" outlineLevel="0" collapsed="false">
      <c r="A191" s="23" t="s">
        <v>50</v>
      </c>
      <c r="B191" s="23" t="s">
        <v>50</v>
      </c>
      <c r="C191" s="24" t="s">
        <v>51</v>
      </c>
      <c r="D191" s="24"/>
      <c r="E191" s="23" t="s">
        <v>55</v>
      </c>
      <c r="F191" s="23" t="s">
        <v>55</v>
      </c>
      <c r="G191" s="24" t="s">
        <v>56</v>
      </c>
      <c r="H191" s="23" t="s">
        <v>52</v>
      </c>
      <c r="I191" s="23" t="s">
        <v>69</v>
      </c>
      <c r="J191" s="23" t="s">
        <v>52</v>
      </c>
      <c r="K191" s="23" t="s">
        <v>70</v>
      </c>
      <c r="L191" s="23" t="s">
        <v>71</v>
      </c>
      <c r="M191" s="23" t="s">
        <v>72</v>
      </c>
      <c r="N191" s="23" t="s">
        <v>55</v>
      </c>
      <c r="O191" s="23" t="s">
        <v>55</v>
      </c>
      <c r="P191" s="24" t="s">
        <v>417</v>
      </c>
      <c r="Q191" s="23" t="s">
        <v>291</v>
      </c>
      <c r="R191" s="24" t="s">
        <v>418</v>
      </c>
      <c r="S191" s="24" t="s">
        <v>76</v>
      </c>
      <c r="T191" s="23" t="n">
        <v>0</v>
      </c>
      <c r="U191" s="22" t="s">
        <v>77</v>
      </c>
      <c r="V191" s="23" t="s">
        <v>78</v>
      </c>
      <c r="Y191" s="23" t="s">
        <v>79</v>
      </c>
      <c r="Z191" s="23" t="s">
        <v>80</v>
      </c>
      <c r="AA191" s="23" t="s">
        <v>81</v>
      </c>
      <c r="AB191" s="23" t="s">
        <v>82</v>
      </c>
      <c r="AD191" s="23" t="str">
        <f aca="false">Q191</f>
        <v>UniqueInternalPaymentIdentifier</v>
      </c>
      <c r="AF191" s="23" t="n">
        <f aca="false">COUNTIF($AE$2:$AE$218,AE191)</f>
        <v>0</v>
      </c>
      <c r="AH191" s="24"/>
      <c r="AY191" s="22"/>
      <c r="AZ191" s="22"/>
      <c r="BA191" s="22"/>
      <c r="BB191" s="22"/>
      <c r="BC191" s="22"/>
      <c r="BD191" s="22"/>
      <c r="BE191" s="22"/>
      <c r="BF191" s="22"/>
      <c r="BG191" s="0"/>
      <c r="BH191" s="0"/>
    </row>
    <row r="192" s="23" customFormat="true" ht="24" hidden="false" customHeight="true" outlineLevel="0" collapsed="false">
      <c r="A192" s="23" t="s">
        <v>50</v>
      </c>
      <c r="B192" s="23" t="s">
        <v>50</v>
      </c>
      <c r="C192" s="24" t="s">
        <v>51</v>
      </c>
      <c r="D192" s="24"/>
      <c r="E192" s="23" t="s">
        <v>55</v>
      </c>
      <c r="F192" s="23" t="s">
        <v>55</v>
      </c>
      <c r="G192" s="24" t="s">
        <v>56</v>
      </c>
      <c r="H192" s="23" t="s">
        <v>52</v>
      </c>
      <c r="I192" s="23" t="s">
        <v>69</v>
      </c>
      <c r="J192" s="23" t="s">
        <v>52</v>
      </c>
      <c r="K192" s="23" t="s">
        <v>70</v>
      </c>
      <c r="L192" s="23" t="s">
        <v>71</v>
      </c>
      <c r="M192" s="23" t="s">
        <v>72</v>
      </c>
      <c r="N192" s="23" t="s">
        <v>55</v>
      </c>
      <c r="O192" s="23" t="s">
        <v>55</v>
      </c>
      <c r="P192" s="24" t="s">
        <v>417</v>
      </c>
      <c r="Q192" s="23" t="s">
        <v>189</v>
      </c>
      <c r="R192" s="24" t="s">
        <v>190</v>
      </c>
      <c r="S192" s="24" t="s">
        <v>423</v>
      </c>
      <c r="T192" s="23" t="n">
        <v>1</v>
      </c>
      <c r="U192" s="22" t="s">
        <v>77</v>
      </c>
      <c r="V192" s="23" t="s">
        <v>78</v>
      </c>
      <c r="Y192" s="23" t="s">
        <v>80</v>
      </c>
      <c r="AA192" s="23" t="s">
        <v>194</v>
      </c>
      <c r="AB192" s="23" t="s">
        <v>194</v>
      </c>
      <c r="AD192" s="20" t="str">
        <f aca="false">Q192</f>
        <v>PaymentInstructionGroupIdentifier</v>
      </c>
      <c r="AE192" s="23" t="s">
        <v>543</v>
      </c>
      <c r="AF192" s="23" t="n">
        <f aca="false">COUNTIF($AE$2:$AE$218,AE192)</f>
        <v>1</v>
      </c>
      <c r="AG192" s="23" t="s">
        <v>425</v>
      </c>
      <c r="AH192" s="24" t="s">
        <v>426</v>
      </c>
      <c r="AI192" s="23" t="s">
        <v>72</v>
      </c>
      <c r="AJ192" s="26" t="s">
        <v>55</v>
      </c>
      <c r="AK192" s="25" t="s">
        <v>135</v>
      </c>
      <c r="AL192" s="25" t="s">
        <v>135</v>
      </c>
      <c r="AM192" s="25" t="str">
        <f aca="false">AA192</f>
        <v>FK-PaymentInstructionGroup</v>
      </c>
      <c r="AN192" s="23" t="s">
        <v>189</v>
      </c>
      <c r="AP192" s="23" t="s">
        <v>172</v>
      </c>
      <c r="AQ192" s="20" t="s">
        <v>137</v>
      </c>
      <c r="AR192" s="26" t="s">
        <v>186</v>
      </c>
      <c r="AS192" s="25" t="s">
        <v>138</v>
      </c>
      <c r="AT192" s="25" t="s">
        <v>138</v>
      </c>
      <c r="AU192" s="25" t="s">
        <v>81</v>
      </c>
      <c r="AV192" s="23" t="s">
        <v>189</v>
      </c>
      <c r="AX192" s="23" t="s">
        <v>136</v>
      </c>
      <c r="AY192" s="22"/>
      <c r="AZ192" s="22"/>
      <c r="BA192" s="22"/>
      <c r="BB192" s="22"/>
      <c r="BC192" s="22"/>
      <c r="BD192" s="22"/>
      <c r="BE192" s="22"/>
      <c r="BF192" s="22"/>
      <c r="BG192" s="0"/>
      <c r="BH192" s="0"/>
    </row>
    <row r="193" s="23" customFormat="true" ht="24" hidden="false" customHeight="true" outlineLevel="0" collapsed="false">
      <c r="A193" s="23" t="s">
        <v>50</v>
      </c>
      <c r="B193" s="23" t="s">
        <v>50</v>
      </c>
      <c r="C193" s="24" t="s">
        <v>51</v>
      </c>
      <c r="D193" s="24"/>
      <c r="E193" s="23" t="s">
        <v>55</v>
      </c>
      <c r="F193" s="23" t="s">
        <v>55</v>
      </c>
      <c r="G193" s="24" t="s">
        <v>56</v>
      </c>
      <c r="H193" s="23" t="s">
        <v>52</v>
      </c>
      <c r="I193" s="23" t="s">
        <v>69</v>
      </c>
      <c r="J193" s="23" t="s">
        <v>52</v>
      </c>
      <c r="K193" s="23" t="s">
        <v>70</v>
      </c>
      <c r="L193" s="23" t="s">
        <v>71</v>
      </c>
      <c r="M193" s="23" t="s">
        <v>72</v>
      </c>
      <c r="N193" s="23" t="s">
        <v>55</v>
      </c>
      <c r="O193" s="23" t="s">
        <v>55</v>
      </c>
      <c r="P193" s="24" t="s">
        <v>417</v>
      </c>
      <c r="Q193" s="23" t="s">
        <v>442</v>
      </c>
      <c r="R193" s="24" t="s">
        <v>442</v>
      </c>
      <c r="S193" s="24" t="s">
        <v>443</v>
      </c>
      <c r="T193" s="23" t="n">
        <v>2</v>
      </c>
      <c r="U193" s="22" t="s">
        <v>77</v>
      </c>
      <c r="V193" s="23" t="s">
        <v>85</v>
      </c>
      <c r="Y193" s="23" t="s">
        <v>79</v>
      </c>
      <c r="AF193" s="23" t="n">
        <f aca="false">COUNTIF($AE$2:$AE$218,AE193)</f>
        <v>0</v>
      </c>
      <c r="AH193" s="24"/>
      <c r="AY193" s="22"/>
      <c r="AZ193" s="22"/>
      <c r="BA193" s="22"/>
      <c r="BB193" s="22"/>
      <c r="BC193" s="22"/>
      <c r="BD193" s="22"/>
      <c r="BE193" s="22"/>
      <c r="BF193" s="22"/>
      <c r="BG193" s="0"/>
      <c r="BH193" s="0"/>
    </row>
    <row r="194" s="23" customFormat="true" ht="24" hidden="false" customHeight="true" outlineLevel="0" collapsed="false">
      <c r="A194" s="23" t="s">
        <v>50</v>
      </c>
      <c r="B194" s="23" t="s">
        <v>50</v>
      </c>
      <c r="C194" s="24" t="s">
        <v>51</v>
      </c>
      <c r="D194" s="24"/>
      <c r="E194" s="23" t="s">
        <v>55</v>
      </c>
      <c r="F194" s="23" t="s">
        <v>55</v>
      </c>
      <c r="G194" s="24" t="s">
        <v>56</v>
      </c>
      <c r="H194" s="23" t="s">
        <v>52</v>
      </c>
      <c r="I194" s="23" t="s">
        <v>69</v>
      </c>
      <c r="J194" s="23" t="s">
        <v>52</v>
      </c>
      <c r="K194" s="23" t="s">
        <v>70</v>
      </c>
      <c r="L194" s="23" t="s">
        <v>71</v>
      </c>
      <c r="M194" s="23" t="s">
        <v>72</v>
      </c>
      <c r="N194" s="23" t="s">
        <v>55</v>
      </c>
      <c r="O194" s="23" t="s">
        <v>55</v>
      </c>
      <c r="P194" s="24" t="s">
        <v>417</v>
      </c>
      <c r="Q194" s="23" t="s">
        <v>475</v>
      </c>
      <c r="R194" s="24" t="s">
        <v>475</v>
      </c>
      <c r="S194" s="24" t="s">
        <v>544</v>
      </c>
      <c r="T194" s="23" t="n">
        <v>3</v>
      </c>
      <c r="U194" s="22" t="s">
        <v>77</v>
      </c>
      <c r="V194" s="23" t="s">
        <v>206</v>
      </c>
      <c r="Y194" s="23" t="s">
        <v>79</v>
      </c>
      <c r="AF194" s="23" t="n">
        <f aca="false">COUNTIF($AE$2:$AE$218,AE194)</f>
        <v>0</v>
      </c>
      <c r="AH194" s="24"/>
      <c r="AY194" s="22"/>
      <c r="AZ194" s="22"/>
      <c r="BA194" s="22"/>
      <c r="BB194" s="22"/>
      <c r="BC194" s="22"/>
      <c r="BD194" s="22"/>
      <c r="BE194" s="22"/>
      <c r="BF194" s="22"/>
      <c r="BG194" s="0"/>
      <c r="BH194" s="0"/>
    </row>
    <row r="195" s="23" customFormat="true" ht="24" hidden="false" customHeight="true" outlineLevel="0" collapsed="false">
      <c r="A195" s="23" t="s">
        <v>50</v>
      </c>
      <c r="B195" s="23" t="s">
        <v>50</v>
      </c>
      <c r="C195" s="24" t="s">
        <v>51</v>
      </c>
      <c r="D195" s="24"/>
      <c r="E195" s="23" t="s">
        <v>55</v>
      </c>
      <c r="F195" s="23" t="s">
        <v>55</v>
      </c>
      <c r="G195" s="24" t="s">
        <v>56</v>
      </c>
      <c r="H195" s="23" t="s">
        <v>52</v>
      </c>
      <c r="I195" s="23" t="s">
        <v>69</v>
      </c>
      <c r="J195" s="23" t="s">
        <v>52</v>
      </c>
      <c r="K195" s="23" t="s">
        <v>70</v>
      </c>
      <c r="L195" s="23" t="s">
        <v>71</v>
      </c>
      <c r="M195" s="23" t="s">
        <v>72</v>
      </c>
      <c r="N195" s="23" t="s">
        <v>55</v>
      </c>
      <c r="O195" s="23" t="s">
        <v>55</v>
      </c>
      <c r="P195" s="24" t="s">
        <v>417</v>
      </c>
      <c r="Q195" s="23" t="s">
        <v>326</v>
      </c>
      <c r="R195" s="23" t="s">
        <v>326</v>
      </c>
      <c r="S195" s="24" t="s">
        <v>479</v>
      </c>
      <c r="T195" s="23" t="n">
        <v>4</v>
      </c>
      <c r="U195" s="22" t="s">
        <v>77</v>
      </c>
      <c r="V195" s="23" t="s">
        <v>328</v>
      </c>
      <c r="Y195" s="23" t="s">
        <v>79</v>
      </c>
      <c r="AF195" s="23" t="n">
        <f aca="false">COUNTIF($AE$2:$AE$218,AE195)</f>
        <v>0</v>
      </c>
      <c r="AH195" s="24"/>
      <c r="AY195" s="22"/>
      <c r="AZ195" s="22"/>
      <c r="BA195" s="22"/>
      <c r="BB195" s="22"/>
      <c r="BC195" s="22"/>
      <c r="BD195" s="22"/>
      <c r="BE195" s="22"/>
      <c r="BF195" s="22"/>
      <c r="BG195" s="0"/>
      <c r="BH195" s="0"/>
    </row>
    <row r="196" s="23" customFormat="true" ht="24" hidden="false" customHeight="true" outlineLevel="0" collapsed="false">
      <c r="A196" s="23" t="s">
        <v>50</v>
      </c>
      <c r="B196" s="23" t="s">
        <v>50</v>
      </c>
      <c r="C196" s="24" t="s">
        <v>51</v>
      </c>
      <c r="D196" s="24"/>
      <c r="E196" s="23" t="s">
        <v>55</v>
      </c>
      <c r="F196" s="23" t="s">
        <v>55</v>
      </c>
      <c r="G196" s="24" t="s">
        <v>56</v>
      </c>
      <c r="H196" s="23" t="s">
        <v>52</v>
      </c>
      <c r="I196" s="23" t="s">
        <v>69</v>
      </c>
      <c r="J196" s="23" t="s">
        <v>52</v>
      </c>
      <c r="K196" s="23" t="s">
        <v>70</v>
      </c>
      <c r="L196" s="23" t="s">
        <v>71</v>
      </c>
      <c r="M196" s="23" t="s">
        <v>72</v>
      </c>
      <c r="N196" s="23" t="s">
        <v>55</v>
      </c>
      <c r="O196" s="23" t="s">
        <v>55</v>
      </c>
      <c r="P196" s="24" t="s">
        <v>417</v>
      </c>
      <c r="Q196" s="23" t="s">
        <v>284</v>
      </c>
      <c r="R196" s="23" t="s">
        <v>284</v>
      </c>
      <c r="S196" s="24" t="s">
        <v>482</v>
      </c>
      <c r="T196" s="23" t="n">
        <v>5</v>
      </c>
      <c r="U196" s="22" t="s">
        <v>77</v>
      </c>
      <c r="V196" s="23" t="s">
        <v>85</v>
      </c>
      <c r="Y196" s="23" t="s">
        <v>79</v>
      </c>
      <c r="AF196" s="23" t="n">
        <f aca="false">COUNTIF($AE$2:$AE$218,AE196)</f>
        <v>0</v>
      </c>
      <c r="AH196" s="24"/>
      <c r="AY196" s="22"/>
      <c r="AZ196" s="22"/>
      <c r="BA196" s="22"/>
      <c r="BB196" s="22"/>
      <c r="BC196" s="22"/>
      <c r="BD196" s="22"/>
      <c r="BE196" s="22"/>
      <c r="BF196" s="22"/>
      <c r="BG196" s="0"/>
      <c r="BH196" s="0"/>
    </row>
    <row r="197" s="23" customFormat="true" ht="24" hidden="false" customHeight="true" outlineLevel="0" collapsed="false">
      <c r="A197" s="23" t="s">
        <v>50</v>
      </c>
      <c r="B197" s="23" t="s">
        <v>50</v>
      </c>
      <c r="C197" s="24" t="s">
        <v>51</v>
      </c>
      <c r="D197" s="24"/>
      <c r="E197" s="23" t="s">
        <v>55</v>
      </c>
      <c r="F197" s="23" t="s">
        <v>55</v>
      </c>
      <c r="G197" s="24" t="s">
        <v>56</v>
      </c>
      <c r="H197" s="23" t="s">
        <v>52</v>
      </c>
      <c r="I197" s="23" t="s">
        <v>69</v>
      </c>
      <c r="J197" s="23" t="s">
        <v>52</v>
      </c>
      <c r="K197" s="23" t="s">
        <v>70</v>
      </c>
      <c r="L197" s="23" t="s">
        <v>71</v>
      </c>
      <c r="M197" s="23" t="s">
        <v>72</v>
      </c>
      <c r="N197" s="23" t="s">
        <v>55</v>
      </c>
      <c r="O197" s="23" t="s">
        <v>55</v>
      </c>
      <c r="P197" s="24" t="s">
        <v>417</v>
      </c>
      <c r="Q197" s="23" t="s">
        <v>545</v>
      </c>
      <c r="R197" s="23" t="s">
        <v>545</v>
      </c>
      <c r="S197" s="24" t="s">
        <v>546</v>
      </c>
      <c r="T197" s="23" t="n">
        <v>6</v>
      </c>
      <c r="U197" s="22" t="s">
        <v>77</v>
      </c>
      <c r="V197" s="23" t="s">
        <v>174</v>
      </c>
      <c r="Y197" s="23" t="s">
        <v>79</v>
      </c>
      <c r="AF197" s="23" t="n">
        <f aca="false">COUNTIF($AE$2:$AE$218,AE197)</f>
        <v>0</v>
      </c>
      <c r="AH197" s="24"/>
      <c r="AY197" s="22"/>
      <c r="AZ197" s="22"/>
      <c r="BA197" s="22"/>
      <c r="BB197" s="22"/>
      <c r="BC197" s="22"/>
      <c r="BD197" s="22"/>
      <c r="BE197" s="22"/>
      <c r="BF197" s="22"/>
      <c r="BG197" s="0"/>
      <c r="BH197" s="0"/>
    </row>
    <row r="198" s="23" customFormat="true" ht="24" hidden="false" customHeight="true" outlineLevel="0" collapsed="false">
      <c r="A198" s="23" t="s">
        <v>50</v>
      </c>
      <c r="B198" s="23" t="s">
        <v>50</v>
      </c>
      <c r="C198" s="24" t="s">
        <v>51</v>
      </c>
      <c r="D198" s="24"/>
      <c r="E198" s="23" t="s">
        <v>55</v>
      </c>
      <c r="F198" s="23" t="s">
        <v>55</v>
      </c>
      <c r="G198" s="24" t="s">
        <v>56</v>
      </c>
      <c r="H198" s="23" t="s">
        <v>52</v>
      </c>
      <c r="I198" s="23" t="s">
        <v>69</v>
      </c>
      <c r="J198" s="23" t="s">
        <v>52</v>
      </c>
      <c r="K198" s="23" t="s">
        <v>70</v>
      </c>
      <c r="L198" s="23" t="s">
        <v>71</v>
      </c>
      <c r="M198" s="23" t="s">
        <v>72</v>
      </c>
      <c r="N198" s="23" t="s">
        <v>55</v>
      </c>
      <c r="O198" s="23" t="s">
        <v>55</v>
      </c>
      <c r="P198" s="24" t="s">
        <v>417</v>
      </c>
      <c r="Q198" s="23" t="s">
        <v>547</v>
      </c>
      <c r="R198" s="23" t="s">
        <v>547</v>
      </c>
      <c r="S198" s="24"/>
      <c r="T198" s="23" t="n">
        <v>7</v>
      </c>
      <c r="U198" s="22" t="s">
        <v>77</v>
      </c>
      <c r="V198" s="23" t="s">
        <v>78</v>
      </c>
      <c r="Y198" s="23" t="s">
        <v>79</v>
      </c>
      <c r="AA198" s="23" t="s">
        <v>548</v>
      </c>
      <c r="AB198" s="23" t="s">
        <v>548</v>
      </c>
      <c r="AD198" s="20" t="str">
        <f aca="false">Q198</f>
        <v>ImmediateDebtorClientId</v>
      </c>
      <c r="AE198" s="23" t="s">
        <v>549</v>
      </c>
      <c r="AF198" s="23" t="n">
        <f aca="false">COUNTIF($AE$2:$AE$218,AE198)</f>
        <v>1</v>
      </c>
      <c r="AG198" s="23" t="s">
        <v>547</v>
      </c>
      <c r="AH198" s="24"/>
      <c r="AI198" s="23" t="s">
        <v>72</v>
      </c>
      <c r="AJ198" s="26" t="s">
        <v>55</v>
      </c>
      <c r="AK198" s="25" t="s">
        <v>135</v>
      </c>
      <c r="AL198" s="25" t="s">
        <v>135</v>
      </c>
      <c r="AM198" s="25" t="str">
        <f aca="false">AA198</f>
        <v>FK-Client-Debtor</v>
      </c>
      <c r="AN198" s="23" t="s">
        <v>547</v>
      </c>
      <c r="AP198" s="23" t="s">
        <v>136</v>
      </c>
      <c r="AQ198" s="20" t="s">
        <v>137</v>
      </c>
      <c r="AR198" s="26" t="s">
        <v>264</v>
      </c>
      <c r="AS198" s="25" t="s">
        <v>138</v>
      </c>
      <c r="AT198" s="25" t="s">
        <v>138</v>
      </c>
      <c r="AU198" s="25" t="s">
        <v>81</v>
      </c>
      <c r="AV198" s="23" t="s">
        <v>266</v>
      </c>
      <c r="AX198" s="23" t="s">
        <v>136</v>
      </c>
      <c r="AY198" s="22"/>
      <c r="AZ198" s="22"/>
      <c r="BA198" s="22"/>
      <c r="BB198" s="22"/>
      <c r="BC198" s="22"/>
      <c r="BD198" s="22"/>
      <c r="BE198" s="22"/>
      <c r="BF198" s="22"/>
      <c r="BG198" s="0"/>
      <c r="BH198" s="0"/>
    </row>
    <row r="199" s="23" customFormat="true" ht="24" hidden="false" customHeight="true" outlineLevel="0" collapsed="false">
      <c r="A199" s="23" t="s">
        <v>50</v>
      </c>
      <c r="B199" s="23" t="s">
        <v>50</v>
      </c>
      <c r="C199" s="24" t="s">
        <v>51</v>
      </c>
      <c r="D199" s="24"/>
      <c r="E199" s="23" t="s">
        <v>55</v>
      </c>
      <c r="F199" s="23" t="s">
        <v>55</v>
      </c>
      <c r="G199" s="24" t="s">
        <v>56</v>
      </c>
      <c r="H199" s="23" t="s">
        <v>52</v>
      </c>
      <c r="I199" s="23" t="s">
        <v>69</v>
      </c>
      <c r="J199" s="23" t="s">
        <v>52</v>
      </c>
      <c r="K199" s="23" t="s">
        <v>70</v>
      </c>
      <c r="L199" s="23" t="s">
        <v>71</v>
      </c>
      <c r="M199" s="23" t="s">
        <v>72</v>
      </c>
      <c r="N199" s="23" t="s">
        <v>55</v>
      </c>
      <c r="O199" s="23" t="s">
        <v>55</v>
      </c>
      <c r="P199" s="24" t="s">
        <v>417</v>
      </c>
      <c r="Q199" s="23" t="s">
        <v>550</v>
      </c>
      <c r="R199" s="23" t="s">
        <v>550</v>
      </c>
      <c r="S199" s="24"/>
      <c r="T199" s="23" t="n">
        <v>8</v>
      </c>
      <c r="U199" s="22" t="s">
        <v>77</v>
      </c>
      <c r="V199" s="23" t="s">
        <v>78</v>
      </c>
      <c r="Y199" s="23" t="s">
        <v>79</v>
      </c>
      <c r="AA199" s="23" t="s">
        <v>551</v>
      </c>
      <c r="AB199" s="23" t="s">
        <v>551</v>
      </c>
      <c r="AD199" s="20" t="str">
        <f aca="false">Q199</f>
        <v>ImmediateDebtorCashAccountId</v>
      </c>
      <c r="AE199" s="23" t="s">
        <v>552</v>
      </c>
      <c r="AF199" s="23" t="n">
        <f aca="false">COUNTIF($AE$2:$AE$218,AE199)</f>
        <v>1</v>
      </c>
      <c r="AG199" s="23" t="s">
        <v>550</v>
      </c>
      <c r="AH199" s="24"/>
      <c r="AI199" s="23" t="s">
        <v>72</v>
      </c>
      <c r="AJ199" s="26" t="s">
        <v>55</v>
      </c>
      <c r="AK199" s="25" t="s">
        <v>135</v>
      </c>
      <c r="AL199" s="25" t="s">
        <v>135</v>
      </c>
      <c r="AM199" s="25" t="str">
        <f aca="false">AA199</f>
        <v>FK-CashAccount-Debtor</v>
      </c>
      <c r="AN199" s="23" t="s">
        <v>550</v>
      </c>
      <c r="AP199" s="23" t="s">
        <v>136</v>
      </c>
      <c r="AQ199" s="20" t="s">
        <v>137</v>
      </c>
      <c r="AR199" s="26" t="s">
        <v>275</v>
      </c>
      <c r="AS199" s="25" t="s">
        <v>138</v>
      </c>
      <c r="AT199" s="25" t="s">
        <v>138</v>
      </c>
      <c r="AU199" s="25" t="s">
        <v>81</v>
      </c>
      <c r="AV199" s="23" t="s">
        <v>270</v>
      </c>
      <c r="AX199" s="23" t="s">
        <v>136</v>
      </c>
      <c r="AY199" s="22"/>
      <c r="AZ199" s="22"/>
      <c r="BA199" s="22"/>
      <c r="BB199" s="22"/>
      <c r="BC199" s="22"/>
      <c r="BD199" s="22"/>
      <c r="BE199" s="22"/>
      <c r="BF199" s="22"/>
      <c r="BG199" s="0"/>
      <c r="BH199" s="0"/>
    </row>
    <row r="200" s="23" customFormat="true" ht="24" hidden="false" customHeight="true" outlineLevel="0" collapsed="false">
      <c r="A200" s="23" t="s">
        <v>50</v>
      </c>
      <c r="B200" s="23" t="s">
        <v>50</v>
      </c>
      <c r="C200" s="24" t="s">
        <v>51</v>
      </c>
      <c r="D200" s="24"/>
      <c r="E200" s="23" t="s">
        <v>55</v>
      </c>
      <c r="F200" s="23" t="s">
        <v>55</v>
      </c>
      <c r="G200" s="24" t="s">
        <v>56</v>
      </c>
      <c r="H200" s="23" t="s">
        <v>52</v>
      </c>
      <c r="I200" s="23" t="s">
        <v>69</v>
      </c>
      <c r="J200" s="23" t="s">
        <v>52</v>
      </c>
      <c r="K200" s="23" t="s">
        <v>70</v>
      </c>
      <c r="L200" s="23" t="s">
        <v>71</v>
      </c>
      <c r="M200" s="23" t="s">
        <v>72</v>
      </c>
      <c r="N200" s="23" t="s">
        <v>55</v>
      </c>
      <c r="O200" s="23" t="s">
        <v>55</v>
      </c>
      <c r="P200" s="24" t="s">
        <v>417</v>
      </c>
      <c r="Q200" s="23" t="s">
        <v>553</v>
      </c>
      <c r="R200" s="23" t="s">
        <v>553</v>
      </c>
      <c r="S200" s="24"/>
      <c r="T200" s="23" t="n">
        <v>9</v>
      </c>
      <c r="U200" s="22" t="s">
        <v>77</v>
      </c>
      <c r="V200" s="23" t="s">
        <v>78</v>
      </c>
      <c r="Y200" s="23" t="s">
        <v>79</v>
      </c>
      <c r="AA200" s="23" t="s">
        <v>554</v>
      </c>
      <c r="AB200" s="23" t="s">
        <v>554</v>
      </c>
      <c r="AD200" s="20" t="str">
        <f aca="false">Q200</f>
        <v>ImmediateCreditorClientId</v>
      </c>
      <c r="AE200" s="23" t="s">
        <v>555</v>
      </c>
      <c r="AF200" s="23" t="n">
        <f aca="false">COUNTIF($AE$2:$AE$218,AE200)</f>
        <v>1</v>
      </c>
      <c r="AG200" s="23" t="s">
        <v>553</v>
      </c>
      <c r="AH200" s="24"/>
      <c r="AI200" s="23" t="s">
        <v>72</v>
      </c>
      <c r="AJ200" s="26" t="s">
        <v>55</v>
      </c>
      <c r="AK200" s="25" t="s">
        <v>135</v>
      </c>
      <c r="AL200" s="25" t="s">
        <v>135</v>
      </c>
      <c r="AM200" s="25" t="str">
        <f aca="false">AA200</f>
        <v>FK-Client-Creditor</v>
      </c>
      <c r="AN200" s="23" t="s">
        <v>553</v>
      </c>
      <c r="AP200" s="23" t="s">
        <v>136</v>
      </c>
      <c r="AQ200" s="20" t="s">
        <v>137</v>
      </c>
      <c r="AR200" s="26" t="s">
        <v>264</v>
      </c>
      <c r="AS200" s="25" t="s">
        <v>138</v>
      </c>
      <c r="AT200" s="25" t="s">
        <v>138</v>
      </c>
      <c r="AU200" s="25" t="s">
        <v>81</v>
      </c>
      <c r="AV200" s="23" t="s">
        <v>266</v>
      </c>
      <c r="AX200" s="23" t="s">
        <v>136</v>
      </c>
      <c r="AY200" s="22"/>
      <c r="AZ200" s="22"/>
      <c r="BA200" s="22"/>
      <c r="BB200" s="22"/>
      <c r="BC200" s="22"/>
      <c r="BD200" s="22"/>
      <c r="BE200" s="22"/>
      <c r="BF200" s="22"/>
      <c r="BG200" s="0"/>
      <c r="BH200" s="0"/>
    </row>
    <row r="201" s="23" customFormat="true" ht="24" hidden="false" customHeight="true" outlineLevel="0" collapsed="false">
      <c r="A201" s="23" t="s">
        <v>50</v>
      </c>
      <c r="B201" s="23" t="s">
        <v>50</v>
      </c>
      <c r="C201" s="24" t="s">
        <v>51</v>
      </c>
      <c r="D201" s="24"/>
      <c r="E201" s="23" t="s">
        <v>55</v>
      </c>
      <c r="F201" s="23" t="s">
        <v>55</v>
      </c>
      <c r="G201" s="24" t="s">
        <v>56</v>
      </c>
      <c r="H201" s="23" t="s">
        <v>52</v>
      </c>
      <c r="I201" s="23" t="s">
        <v>69</v>
      </c>
      <c r="J201" s="23" t="s">
        <v>52</v>
      </c>
      <c r="K201" s="23" t="s">
        <v>70</v>
      </c>
      <c r="L201" s="23" t="s">
        <v>71</v>
      </c>
      <c r="M201" s="23" t="s">
        <v>72</v>
      </c>
      <c r="N201" s="23" t="s">
        <v>55</v>
      </c>
      <c r="O201" s="23" t="s">
        <v>55</v>
      </c>
      <c r="P201" s="24" t="s">
        <v>417</v>
      </c>
      <c r="Q201" s="23" t="s">
        <v>556</v>
      </c>
      <c r="R201" s="23" t="s">
        <v>556</v>
      </c>
      <c r="S201" s="24"/>
      <c r="T201" s="23" t="n">
        <v>10</v>
      </c>
      <c r="U201" s="22" t="s">
        <v>77</v>
      </c>
      <c r="V201" s="23" t="s">
        <v>78</v>
      </c>
      <c r="Y201" s="23" t="s">
        <v>79</v>
      </c>
      <c r="AA201" s="23" t="s">
        <v>557</v>
      </c>
      <c r="AB201" s="23" t="s">
        <v>557</v>
      </c>
      <c r="AD201" s="20" t="str">
        <f aca="false">Q201</f>
        <v>ImmediateCreditorCashAccountId</v>
      </c>
      <c r="AE201" s="23" t="s">
        <v>558</v>
      </c>
      <c r="AF201" s="23" t="n">
        <f aca="false">COUNTIF($AE$2:$AE$218,AE201)</f>
        <v>1</v>
      </c>
      <c r="AG201" s="23" t="s">
        <v>556</v>
      </c>
      <c r="AH201" s="24"/>
      <c r="AI201" s="23" t="s">
        <v>72</v>
      </c>
      <c r="AJ201" s="26" t="s">
        <v>55</v>
      </c>
      <c r="AK201" s="25" t="s">
        <v>135</v>
      </c>
      <c r="AL201" s="25" t="s">
        <v>135</v>
      </c>
      <c r="AM201" s="25" t="str">
        <f aca="false">AA201</f>
        <v>FK-CashAccount-Creditor</v>
      </c>
      <c r="AN201" s="23" t="s">
        <v>556</v>
      </c>
      <c r="AP201" s="23" t="s">
        <v>136</v>
      </c>
      <c r="AQ201" s="20" t="s">
        <v>137</v>
      </c>
      <c r="AR201" s="26" t="s">
        <v>275</v>
      </c>
      <c r="AS201" s="25" t="s">
        <v>138</v>
      </c>
      <c r="AT201" s="25" t="s">
        <v>138</v>
      </c>
      <c r="AU201" s="25" t="s">
        <v>81</v>
      </c>
      <c r="AV201" s="23" t="s">
        <v>270</v>
      </c>
      <c r="AX201" s="23" t="s">
        <v>136</v>
      </c>
      <c r="AY201" s="22"/>
      <c r="AZ201" s="22"/>
      <c r="BA201" s="22"/>
      <c r="BB201" s="22"/>
      <c r="BC201" s="22"/>
      <c r="BD201" s="22"/>
      <c r="BE201" s="22"/>
      <c r="BF201" s="22"/>
      <c r="BG201" s="0"/>
      <c r="BH201" s="0"/>
    </row>
    <row r="202" s="23" customFormat="true" ht="24" hidden="false" customHeight="true" outlineLevel="0" collapsed="false">
      <c r="A202" s="23" t="s">
        <v>50</v>
      </c>
      <c r="B202" s="23" t="s">
        <v>50</v>
      </c>
      <c r="C202" s="24" t="s">
        <v>51</v>
      </c>
      <c r="D202" s="24"/>
      <c r="E202" s="23" t="s">
        <v>55</v>
      </c>
      <c r="F202" s="23" t="s">
        <v>55</v>
      </c>
      <c r="G202" s="24" t="s">
        <v>56</v>
      </c>
      <c r="H202" s="23" t="s">
        <v>52</v>
      </c>
      <c r="I202" s="23" t="s">
        <v>69</v>
      </c>
      <c r="J202" s="23" t="s">
        <v>52</v>
      </c>
      <c r="K202" s="23" t="s">
        <v>70</v>
      </c>
      <c r="L202" s="23" t="s">
        <v>71</v>
      </c>
      <c r="M202" s="23" t="s">
        <v>72</v>
      </c>
      <c r="N202" s="23" t="s">
        <v>55</v>
      </c>
      <c r="O202" s="23" t="s">
        <v>55</v>
      </c>
      <c r="P202" s="24" t="s">
        <v>417</v>
      </c>
      <c r="Q202" s="23" t="s">
        <v>559</v>
      </c>
      <c r="R202" s="24" t="s">
        <v>559</v>
      </c>
      <c r="S202" s="24"/>
      <c r="T202" s="23" t="n">
        <v>11</v>
      </c>
      <c r="U202" s="22" t="s">
        <v>77</v>
      </c>
      <c r="V202" s="23" t="s">
        <v>78</v>
      </c>
      <c r="W202" s="23" t="s">
        <v>560</v>
      </c>
      <c r="Y202" s="23" t="s">
        <v>79</v>
      </c>
      <c r="AA202" s="23" t="s">
        <v>561</v>
      </c>
      <c r="AB202" s="23" t="s">
        <v>561</v>
      </c>
      <c r="AD202" s="20" t="str">
        <f aca="false">Q202</f>
        <v>InitiatingInterfaceID</v>
      </c>
      <c r="AE202" s="23" t="s">
        <v>562</v>
      </c>
      <c r="AF202" s="23" t="n">
        <f aca="false">COUNTIF($AE$2:$AE$218,AE202)</f>
        <v>1</v>
      </c>
      <c r="AG202" s="23" t="s">
        <v>563</v>
      </c>
      <c r="AH202" s="24"/>
      <c r="AI202" s="23" t="s">
        <v>72</v>
      </c>
      <c r="AJ202" s="26" t="s">
        <v>55</v>
      </c>
      <c r="AK202" s="25" t="s">
        <v>135</v>
      </c>
      <c r="AL202" s="25" t="s">
        <v>135</v>
      </c>
      <c r="AM202" s="25" t="str">
        <f aca="false">AA202</f>
        <v>FK-Interface-Initiating</v>
      </c>
      <c r="AN202" s="23" t="s">
        <v>559</v>
      </c>
      <c r="AP202" s="23" t="s">
        <v>136</v>
      </c>
      <c r="AQ202" s="20" t="s">
        <v>137</v>
      </c>
      <c r="AR202" s="26" t="s">
        <v>59</v>
      </c>
      <c r="AS202" s="25" t="s">
        <v>138</v>
      </c>
      <c r="AT202" s="25" t="s">
        <v>138</v>
      </c>
      <c r="AU202" s="25" t="s">
        <v>81</v>
      </c>
      <c r="AV202" s="23" t="s">
        <v>166</v>
      </c>
      <c r="AX202" s="23" t="s">
        <v>136</v>
      </c>
      <c r="AY202" s="22"/>
      <c r="AZ202" s="22"/>
      <c r="BA202" s="22"/>
      <c r="BB202" s="22"/>
      <c r="BC202" s="22"/>
      <c r="BD202" s="22"/>
      <c r="BE202" s="22"/>
      <c r="BF202" s="22"/>
      <c r="BG202" s="0"/>
      <c r="BH202" s="0"/>
    </row>
    <row r="203" s="23" customFormat="true" ht="24" hidden="false" customHeight="true" outlineLevel="0" collapsed="false">
      <c r="A203" s="23" t="s">
        <v>50</v>
      </c>
      <c r="B203" s="23" t="s">
        <v>50</v>
      </c>
      <c r="C203" s="24" t="s">
        <v>51</v>
      </c>
      <c r="D203" s="24"/>
      <c r="E203" s="23" t="s">
        <v>55</v>
      </c>
      <c r="F203" s="23" t="s">
        <v>55</v>
      </c>
      <c r="G203" s="24" t="s">
        <v>56</v>
      </c>
      <c r="H203" s="23" t="s">
        <v>52</v>
      </c>
      <c r="I203" s="23" t="s">
        <v>69</v>
      </c>
      <c r="J203" s="23" t="s">
        <v>52</v>
      </c>
      <c r="K203" s="23" t="s">
        <v>70</v>
      </c>
      <c r="L203" s="23" t="s">
        <v>71</v>
      </c>
      <c r="M203" s="23" t="s">
        <v>72</v>
      </c>
      <c r="N203" s="23" t="s">
        <v>55</v>
      </c>
      <c r="O203" s="23" t="s">
        <v>55</v>
      </c>
      <c r="P203" s="24" t="s">
        <v>417</v>
      </c>
      <c r="Q203" s="23" t="s">
        <v>564</v>
      </c>
      <c r="R203" s="24" t="s">
        <v>564</v>
      </c>
      <c r="S203" s="24"/>
      <c r="T203" s="23" t="n">
        <v>12</v>
      </c>
      <c r="U203" s="22" t="s">
        <v>77</v>
      </c>
      <c r="V203" s="23" t="s">
        <v>78</v>
      </c>
      <c r="W203" s="23" t="s">
        <v>560</v>
      </c>
      <c r="Y203" s="23" t="s">
        <v>79</v>
      </c>
      <c r="AA203" s="23" t="s">
        <v>565</v>
      </c>
      <c r="AB203" s="23" t="s">
        <v>565</v>
      </c>
      <c r="AD203" s="20" t="str">
        <f aca="false">Q203</f>
        <v>InboundInterfaceID</v>
      </c>
      <c r="AE203" s="23" t="s">
        <v>566</v>
      </c>
      <c r="AF203" s="23" t="n">
        <f aca="false">COUNTIF($AE$2:$AE$218,AE203)</f>
        <v>1</v>
      </c>
      <c r="AG203" s="23" t="s">
        <v>567</v>
      </c>
      <c r="AH203" s="24"/>
      <c r="AI203" s="23" t="s">
        <v>72</v>
      </c>
      <c r="AJ203" s="26" t="s">
        <v>55</v>
      </c>
      <c r="AK203" s="25" t="s">
        <v>135</v>
      </c>
      <c r="AL203" s="25" t="s">
        <v>135</v>
      </c>
      <c r="AM203" s="25" t="str">
        <f aca="false">AA203</f>
        <v>FK-Interface-Inbound</v>
      </c>
      <c r="AN203" s="23" t="s">
        <v>564</v>
      </c>
      <c r="AP203" s="23" t="s">
        <v>136</v>
      </c>
      <c r="AQ203" s="20" t="s">
        <v>137</v>
      </c>
      <c r="AR203" s="26" t="s">
        <v>59</v>
      </c>
      <c r="AS203" s="25" t="s">
        <v>138</v>
      </c>
      <c r="AT203" s="25" t="s">
        <v>138</v>
      </c>
      <c r="AU203" s="25" t="s">
        <v>81</v>
      </c>
      <c r="AV203" s="23" t="s">
        <v>166</v>
      </c>
      <c r="AX203" s="23" t="s">
        <v>136</v>
      </c>
      <c r="AY203" s="22"/>
      <c r="AZ203" s="22"/>
      <c r="BA203" s="22"/>
      <c r="BB203" s="22"/>
      <c r="BC203" s="22"/>
      <c r="BD203" s="22"/>
      <c r="BE203" s="22"/>
      <c r="BF203" s="22"/>
      <c r="BG203" s="0"/>
      <c r="BH203" s="0"/>
    </row>
    <row r="204" s="23" customFormat="true" ht="24" hidden="false" customHeight="true" outlineLevel="0" collapsed="false">
      <c r="A204" s="23" t="s">
        <v>50</v>
      </c>
      <c r="B204" s="23" t="s">
        <v>50</v>
      </c>
      <c r="C204" s="24" t="s">
        <v>51</v>
      </c>
      <c r="D204" s="24"/>
      <c r="E204" s="23" t="s">
        <v>55</v>
      </c>
      <c r="F204" s="23" t="s">
        <v>55</v>
      </c>
      <c r="G204" s="24" t="s">
        <v>56</v>
      </c>
      <c r="H204" s="23" t="s">
        <v>52</v>
      </c>
      <c r="I204" s="23" t="s">
        <v>69</v>
      </c>
      <c r="J204" s="23" t="s">
        <v>52</v>
      </c>
      <c r="K204" s="23" t="s">
        <v>70</v>
      </c>
      <c r="L204" s="23" t="s">
        <v>71</v>
      </c>
      <c r="M204" s="23" t="s">
        <v>72</v>
      </c>
      <c r="N204" s="23" t="s">
        <v>55</v>
      </c>
      <c r="O204" s="23" t="s">
        <v>55</v>
      </c>
      <c r="P204" s="24" t="s">
        <v>417</v>
      </c>
      <c r="Q204" s="23" t="s">
        <v>568</v>
      </c>
      <c r="R204" s="24" t="s">
        <v>568</v>
      </c>
      <c r="S204" s="24"/>
      <c r="T204" s="23" t="n">
        <v>13</v>
      </c>
      <c r="U204" s="22" t="s">
        <v>77</v>
      </c>
      <c r="V204" s="23" t="s">
        <v>78</v>
      </c>
      <c r="W204" s="23" t="s">
        <v>560</v>
      </c>
      <c r="Y204" s="23" t="s">
        <v>79</v>
      </c>
      <c r="AA204" s="23" t="s">
        <v>569</v>
      </c>
      <c r="AB204" s="23" t="s">
        <v>569</v>
      </c>
      <c r="AD204" s="20" t="str">
        <f aca="false">Q204</f>
        <v>OutboundInterfaceID</v>
      </c>
      <c r="AE204" s="23" t="s">
        <v>570</v>
      </c>
      <c r="AF204" s="23" t="n">
        <f aca="false">COUNTIF($AE$2:$AE$218,AE204)</f>
        <v>1</v>
      </c>
      <c r="AG204" s="23" t="s">
        <v>571</v>
      </c>
      <c r="AH204" s="24"/>
      <c r="AI204" s="23" t="s">
        <v>72</v>
      </c>
      <c r="AJ204" s="26" t="s">
        <v>55</v>
      </c>
      <c r="AK204" s="25" t="s">
        <v>135</v>
      </c>
      <c r="AL204" s="25" t="s">
        <v>135</v>
      </c>
      <c r="AM204" s="25" t="str">
        <f aca="false">AA204</f>
        <v>FK-Interface-Outbound</v>
      </c>
      <c r="AN204" s="23" t="s">
        <v>568</v>
      </c>
      <c r="AP204" s="23" t="s">
        <v>136</v>
      </c>
      <c r="AQ204" s="20" t="s">
        <v>137</v>
      </c>
      <c r="AR204" s="26" t="s">
        <v>59</v>
      </c>
      <c r="AS204" s="25" t="s">
        <v>138</v>
      </c>
      <c r="AT204" s="25" t="s">
        <v>138</v>
      </c>
      <c r="AU204" s="25" t="s">
        <v>81</v>
      </c>
      <c r="AV204" s="23" t="s">
        <v>166</v>
      </c>
      <c r="AX204" s="23" t="s">
        <v>136</v>
      </c>
      <c r="AY204" s="22"/>
      <c r="AZ204" s="22"/>
      <c r="BA204" s="22"/>
      <c r="BB204" s="22"/>
      <c r="BC204" s="22"/>
      <c r="BD204" s="22"/>
      <c r="BE204" s="22"/>
      <c r="BF204" s="22"/>
      <c r="BG204" s="0"/>
      <c r="BH204" s="0"/>
    </row>
    <row r="205" s="23" customFormat="true" ht="24" hidden="false" customHeight="true" outlineLevel="0" collapsed="false">
      <c r="A205" s="23" t="s">
        <v>50</v>
      </c>
      <c r="B205" s="23" t="s">
        <v>50</v>
      </c>
      <c r="C205" s="24" t="s">
        <v>51</v>
      </c>
      <c r="D205" s="24"/>
      <c r="E205" s="23" t="s">
        <v>55</v>
      </c>
      <c r="F205" s="23" t="s">
        <v>55</v>
      </c>
      <c r="G205" s="24" t="s">
        <v>56</v>
      </c>
      <c r="H205" s="23" t="s">
        <v>52</v>
      </c>
      <c r="I205" s="23" t="s">
        <v>69</v>
      </c>
      <c r="J205" s="23" t="s">
        <v>52</v>
      </c>
      <c r="K205" s="23" t="s">
        <v>70</v>
      </c>
      <c r="L205" s="23" t="s">
        <v>71</v>
      </c>
      <c r="M205" s="23" t="s">
        <v>72</v>
      </c>
      <c r="N205" s="23" t="s">
        <v>55</v>
      </c>
      <c r="O205" s="23" t="s">
        <v>55</v>
      </c>
      <c r="P205" s="24" t="s">
        <v>417</v>
      </c>
      <c r="Q205" s="23" t="s">
        <v>572</v>
      </c>
      <c r="R205" s="24" t="s">
        <v>572</v>
      </c>
      <c r="S205" s="24" t="s">
        <v>573</v>
      </c>
      <c r="T205" s="23" t="n">
        <v>40</v>
      </c>
      <c r="U205" s="22" t="s">
        <v>77</v>
      </c>
      <c r="V205" s="23" t="s">
        <v>85</v>
      </c>
      <c r="W205" s="23" t="s">
        <v>574</v>
      </c>
      <c r="Y205" s="23" t="s">
        <v>79</v>
      </c>
      <c r="AF205" s="23" t="n">
        <f aca="false">COUNTIF($AE$2:$AE$218,AE205)</f>
        <v>0</v>
      </c>
      <c r="AH205" s="24"/>
      <c r="AY205" s="22"/>
      <c r="AZ205" s="22"/>
      <c r="BA205" s="22"/>
      <c r="BB205" s="22"/>
      <c r="BC205" s="22"/>
      <c r="BD205" s="22"/>
      <c r="BE205" s="22"/>
      <c r="BF205" s="22"/>
      <c r="BG205" s="0"/>
      <c r="BH205" s="0"/>
    </row>
    <row r="206" s="23" customFormat="true" ht="24" hidden="false" customHeight="true" outlineLevel="0" collapsed="false">
      <c r="A206" s="23" t="s">
        <v>50</v>
      </c>
      <c r="B206" s="23" t="s">
        <v>50</v>
      </c>
      <c r="C206" s="24" t="s">
        <v>51</v>
      </c>
      <c r="D206" s="24"/>
      <c r="E206" s="23" t="s">
        <v>55</v>
      </c>
      <c r="F206" s="23" t="s">
        <v>55</v>
      </c>
      <c r="G206" s="24" t="s">
        <v>56</v>
      </c>
      <c r="H206" s="23" t="s">
        <v>52</v>
      </c>
      <c r="I206" s="23" t="s">
        <v>69</v>
      </c>
      <c r="J206" s="23" t="s">
        <v>52</v>
      </c>
      <c r="K206" s="23" t="s">
        <v>70</v>
      </c>
      <c r="L206" s="23" t="s">
        <v>71</v>
      </c>
      <c r="M206" s="23" t="s">
        <v>72</v>
      </c>
      <c r="N206" s="23" t="s">
        <v>55</v>
      </c>
      <c r="O206" s="23" t="s">
        <v>55</v>
      </c>
      <c r="P206" s="24" t="s">
        <v>417</v>
      </c>
      <c r="Q206" s="23" t="s">
        <v>575</v>
      </c>
      <c r="R206" s="24" t="s">
        <v>575</v>
      </c>
      <c r="S206" s="24" t="s">
        <v>576</v>
      </c>
      <c r="T206" s="23" t="n">
        <v>14</v>
      </c>
      <c r="U206" s="22" t="s">
        <v>77</v>
      </c>
      <c r="V206" s="23" t="s">
        <v>85</v>
      </c>
      <c r="W206" s="23" t="s">
        <v>577</v>
      </c>
      <c r="Y206" s="23" t="s">
        <v>80</v>
      </c>
      <c r="AF206" s="23" t="n">
        <v>0</v>
      </c>
      <c r="AH206" s="24"/>
      <c r="AJ206" s="26"/>
      <c r="AK206" s="26"/>
      <c r="AL206" s="26"/>
      <c r="AM206" s="26"/>
      <c r="AR206" s="26"/>
      <c r="AS206" s="26"/>
      <c r="AT206" s="26"/>
      <c r="AU206" s="26"/>
      <c r="AY206" s="22"/>
      <c r="AZ206" s="22"/>
      <c r="BA206" s="22"/>
      <c r="BB206" s="22"/>
      <c r="BC206" s="22"/>
      <c r="BD206" s="22"/>
      <c r="BE206" s="22"/>
      <c r="BF206" s="22"/>
      <c r="BG206" s="0"/>
      <c r="BH206" s="0"/>
    </row>
    <row r="207" s="23" customFormat="true" ht="24" hidden="false" customHeight="true" outlineLevel="0" collapsed="false">
      <c r="A207" s="23" t="s">
        <v>50</v>
      </c>
      <c r="B207" s="23" t="s">
        <v>50</v>
      </c>
      <c r="C207" s="24" t="s">
        <v>51</v>
      </c>
      <c r="D207" s="24"/>
      <c r="E207" s="23" t="s">
        <v>55</v>
      </c>
      <c r="F207" s="23" t="s">
        <v>55</v>
      </c>
      <c r="G207" s="24" t="s">
        <v>56</v>
      </c>
      <c r="H207" s="23" t="s">
        <v>52</v>
      </c>
      <c r="I207" s="23" t="s">
        <v>69</v>
      </c>
      <c r="J207" s="23" t="s">
        <v>52</v>
      </c>
      <c r="K207" s="23" t="s">
        <v>70</v>
      </c>
      <c r="L207" s="23" t="s">
        <v>71</v>
      </c>
      <c r="M207" s="23" t="s">
        <v>72</v>
      </c>
      <c r="N207" s="23" t="s">
        <v>55</v>
      </c>
      <c r="O207" s="23" t="s">
        <v>55</v>
      </c>
      <c r="P207" s="24" t="s">
        <v>417</v>
      </c>
      <c r="Q207" s="23" t="s">
        <v>578</v>
      </c>
      <c r="R207" s="24" t="s">
        <v>578</v>
      </c>
      <c r="S207" s="24" t="s">
        <v>579</v>
      </c>
      <c r="T207" s="23" t="n">
        <v>15</v>
      </c>
      <c r="U207" s="22" t="s">
        <v>77</v>
      </c>
      <c r="V207" s="23" t="s">
        <v>85</v>
      </c>
      <c r="W207" s="23" t="s">
        <v>532</v>
      </c>
      <c r="Y207" s="23" t="s">
        <v>80</v>
      </c>
      <c r="AF207" s="23" t="n">
        <v>0</v>
      </c>
      <c r="AH207" s="24"/>
      <c r="AJ207" s="26"/>
      <c r="AK207" s="26"/>
      <c r="AL207" s="26"/>
      <c r="AM207" s="26"/>
      <c r="AR207" s="26"/>
      <c r="AS207" s="26"/>
      <c r="AT207" s="26"/>
      <c r="AU207" s="26"/>
      <c r="AY207" s="22"/>
      <c r="AZ207" s="22"/>
      <c r="BA207" s="22"/>
      <c r="BB207" s="22"/>
      <c r="BC207" s="22"/>
      <c r="BD207" s="22"/>
      <c r="BE207" s="22"/>
      <c r="BF207" s="22"/>
      <c r="BG207" s="0"/>
      <c r="BH207" s="0"/>
    </row>
    <row r="208" s="27" customFormat="true" ht="24" hidden="false" customHeight="true" outlineLevel="0" collapsed="false">
      <c r="A208" s="27" t="s">
        <v>50</v>
      </c>
      <c r="B208" s="27" t="s">
        <v>50</v>
      </c>
      <c r="C208" s="3" t="s">
        <v>51</v>
      </c>
      <c r="D208" s="3"/>
      <c r="E208" s="27" t="s">
        <v>55</v>
      </c>
      <c r="F208" s="27" t="s">
        <v>55</v>
      </c>
      <c r="G208" s="3" t="s">
        <v>56</v>
      </c>
      <c r="H208" s="27" t="s">
        <v>52</v>
      </c>
      <c r="I208" s="23" t="s">
        <v>69</v>
      </c>
      <c r="J208" s="23" t="s">
        <v>52</v>
      </c>
      <c r="K208" s="23" t="s">
        <v>70</v>
      </c>
      <c r="L208" s="27" t="s">
        <v>71</v>
      </c>
      <c r="M208" s="27" t="s">
        <v>72</v>
      </c>
      <c r="N208" s="27" t="s">
        <v>580</v>
      </c>
      <c r="O208" s="27" t="s">
        <v>580</v>
      </c>
      <c r="P208" s="3" t="s">
        <v>581</v>
      </c>
      <c r="Q208" s="27" t="s">
        <v>582</v>
      </c>
      <c r="R208" s="27" t="s">
        <v>582</v>
      </c>
      <c r="S208" s="3" t="s">
        <v>76</v>
      </c>
      <c r="T208" s="27" t="n">
        <v>0</v>
      </c>
      <c r="U208" s="22" t="s">
        <v>77</v>
      </c>
      <c r="V208" s="27" t="s">
        <v>78</v>
      </c>
      <c r="Y208" s="27" t="s">
        <v>79</v>
      </c>
      <c r="Z208" s="27" t="s">
        <v>80</v>
      </c>
      <c r="AA208" s="20" t="s">
        <v>81</v>
      </c>
      <c r="AB208" s="20" t="s">
        <v>82</v>
      </c>
      <c r="AD208" s="20" t="str">
        <f aca="false">Q208</f>
        <v>PaymentIdentificationIdentifier</v>
      </c>
      <c r="AF208" s="27" t="n">
        <f aca="false">COUNTIF($AE$2:$AE$218,AE208)</f>
        <v>0</v>
      </c>
      <c r="AH208" s="3"/>
      <c r="AY208" s="22"/>
      <c r="AZ208" s="22"/>
      <c r="BA208" s="22"/>
      <c r="BB208" s="22"/>
      <c r="BC208" s="22"/>
      <c r="BD208" s="22"/>
      <c r="BE208" s="22"/>
      <c r="BF208" s="22"/>
      <c r="BG208" s="0"/>
      <c r="BH208" s="0"/>
    </row>
    <row r="209" s="27" customFormat="true" ht="24" hidden="false" customHeight="true" outlineLevel="0" collapsed="false">
      <c r="A209" s="27" t="s">
        <v>50</v>
      </c>
      <c r="B209" s="27" t="s">
        <v>50</v>
      </c>
      <c r="C209" s="3" t="s">
        <v>51</v>
      </c>
      <c r="D209" s="3"/>
      <c r="E209" s="27" t="s">
        <v>55</v>
      </c>
      <c r="F209" s="27" t="s">
        <v>55</v>
      </c>
      <c r="G209" s="3" t="s">
        <v>56</v>
      </c>
      <c r="H209" s="27" t="s">
        <v>52</v>
      </c>
      <c r="I209" s="23" t="s">
        <v>69</v>
      </c>
      <c r="J209" s="23" t="s">
        <v>52</v>
      </c>
      <c r="K209" s="23" t="s">
        <v>70</v>
      </c>
      <c r="L209" s="27" t="s">
        <v>71</v>
      </c>
      <c r="M209" s="27" t="s">
        <v>72</v>
      </c>
      <c r="N209" s="27" t="s">
        <v>580</v>
      </c>
      <c r="O209" s="27" t="s">
        <v>580</v>
      </c>
      <c r="P209" s="3" t="s">
        <v>581</v>
      </c>
      <c r="Q209" s="27" t="s">
        <v>583</v>
      </c>
      <c r="R209" s="27" t="s">
        <v>583</v>
      </c>
      <c r="S209" s="3" t="s">
        <v>584</v>
      </c>
      <c r="T209" s="27" t="n">
        <v>1</v>
      </c>
      <c r="U209" s="22" t="s">
        <v>77</v>
      </c>
      <c r="V209" s="27" t="s">
        <v>85</v>
      </c>
      <c r="Y209" s="27" t="s">
        <v>79</v>
      </c>
      <c r="AF209" s="27" t="n">
        <f aca="false">COUNTIF($AE$2:$AE$218,AE209)</f>
        <v>0</v>
      </c>
      <c r="AH209" s="3"/>
      <c r="AY209" s="22"/>
      <c r="AZ209" s="22"/>
      <c r="BA209" s="22"/>
      <c r="BB209" s="22"/>
      <c r="BC209" s="22"/>
      <c r="BD209" s="22"/>
      <c r="BE209" s="22"/>
      <c r="BF209" s="22"/>
      <c r="BG209" s="0"/>
      <c r="BH209" s="0"/>
    </row>
    <row r="210" s="27" customFormat="true" ht="24" hidden="false" customHeight="true" outlineLevel="0" collapsed="false">
      <c r="A210" s="27" t="s">
        <v>50</v>
      </c>
      <c r="B210" s="27" t="s">
        <v>50</v>
      </c>
      <c r="C210" s="3" t="s">
        <v>51</v>
      </c>
      <c r="D210" s="3"/>
      <c r="E210" s="27" t="s">
        <v>55</v>
      </c>
      <c r="F210" s="27" t="s">
        <v>55</v>
      </c>
      <c r="G210" s="3" t="s">
        <v>56</v>
      </c>
      <c r="H210" s="27" t="s">
        <v>52</v>
      </c>
      <c r="I210" s="23" t="s">
        <v>69</v>
      </c>
      <c r="J210" s="23" t="s">
        <v>52</v>
      </c>
      <c r="K210" s="23" t="s">
        <v>70</v>
      </c>
      <c r="L210" s="27" t="s">
        <v>71</v>
      </c>
      <c r="M210" s="27" t="s">
        <v>72</v>
      </c>
      <c r="N210" s="27" t="s">
        <v>580</v>
      </c>
      <c r="O210" s="27" t="s">
        <v>580</v>
      </c>
      <c r="P210" s="3" t="s">
        <v>581</v>
      </c>
      <c r="Q210" s="27" t="s">
        <v>585</v>
      </c>
      <c r="R210" s="27" t="s">
        <v>585</v>
      </c>
      <c r="S210" s="3" t="s">
        <v>586</v>
      </c>
      <c r="T210" s="27" t="n">
        <v>2</v>
      </c>
      <c r="U210" s="22" t="s">
        <v>77</v>
      </c>
      <c r="V210" s="27" t="s">
        <v>85</v>
      </c>
      <c r="Y210" s="27" t="s">
        <v>79</v>
      </c>
      <c r="AF210" s="27" t="n">
        <f aca="false">COUNTIF($AE$2:$AE$218,AE210)</f>
        <v>0</v>
      </c>
      <c r="AH210" s="3"/>
      <c r="AY210" s="22"/>
      <c r="AZ210" s="22"/>
      <c r="BA210" s="22"/>
      <c r="BB210" s="22"/>
      <c r="BC210" s="22"/>
      <c r="BD210" s="22"/>
      <c r="BE210" s="22"/>
      <c r="BF210" s="22"/>
      <c r="BG210" s="0"/>
      <c r="BH210" s="0"/>
    </row>
    <row r="211" s="27" customFormat="true" ht="24" hidden="false" customHeight="true" outlineLevel="0" collapsed="false">
      <c r="A211" s="27" t="s">
        <v>50</v>
      </c>
      <c r="B211" s="27" t="s">
        <v>50</v>
      </c>
      <c r="C211" s="3" t="s">
        <v>51</v>
      </c>
      <c r="D211" s="3"/>
      <c r="E211" s="27" t="s">
        <v>55</v>
      </c>
      <c r="F211" s="27" t="s">
        <v>55</v>
      </c>
      <c r="G211" s="3" t="s">
        <v>56</v>
      </c>
      <c r="H211" s="27" t="s">
        <v>52</v>
      </c>
      <c r="I211" s="23" t="s">
        <v>69</v>
      </c>
      <c r="J211" s="23" t="s">
        <v>52</v>
      </c>
      <c r="K211" s="23" t="s">
        <v>70</v>
      </c>
      <c r="L211" s="27" t="s">
        <v>71</v>
      </c>
      <c r="M211" s="27" t="s">
        <v>72</v>
      </c>
      <c r="N211" s="27" t="s">
        <v>580</v>
      </c>
      <c r="O211" s="27" t="s">
        <v>580</v>
      </c>
      <c r="P211" s="3" t="s">
        <v>581</v>
      </c>
      <c r="Q211" s="27" t="s">
        <v>291</v>
      </c>
      <c r="R211" s="27" t="s">
        <v>291</v>
      </c>
      <c r="S211" s="3" t="s">
        <v>587</v>
      </c>
      <c r="T211" s="27" t="n">
        <v>3</v>
      </c>
      <c r="U211" s="22" t="s">
        <v>77</v>
      </c>
      <c r="V211" s="27" t="s">
        <v>78</v>
      </c>
      <c r="Y211" s="27" t="s">
        <v>79</v>
      </c>
      <c r="AA211" s="23" t="s">
        <v>293</v>
      </c>
      <c r="AB211" s="23" t="s">
        <v>293</v>
      </c>
      <c r="AD211" s="20" t="str">
        <f aca="false">Q211</f>
        <v>UniqueInternalPaymentIdentifier</v>
      </c>
      <c r="AE211" s="27" t="s">
        <v>588</v>
      </c>
      <c r="AF211" s="27" t="n">
        <f aca="false">COUNTIF($AE$2:$AE$218,AE211)</f>
        <v>1</v>
      </c>
      <c r="AG211" s="27" t="s">
        <v>589</v>
      </c>
      <c r="AH211" s="3"/>
      <c r="AI211" s="27" t="s">
        <v>72</v>
      </c>
      <c r="AJ211" s="4" t="s">
        <v>580</v>
      </c>
      <c r="AK211" s="25" t="s">
        <v>135</v>
      </c>
      <c r="AL211" s="25" t="s">
        <v>135</v>
      </c>
      <c r="AM211" s="25" t="str">
        <f aca="false">AA211</f>
        <v>FK-Payment</v>
      </c>
      <c r="AN211" s="27" t="s">
        <v>291</v>
      </c>
      <c r="AP211" s="27" t="s">
        <v>172</v>
      </c>
      <c r="AQ211" s="20" t="s">
        <v>137</v>
      </c>
      <c r="AR211" s="4" t="s">
        <v>55</v>
      </c>
      <c r="AS211" s="25" t="s">
        <v>138</v>
      </c>
      <c r="AT211" s="25" t="s">
        <v>138</v>
      </c>
      <c r="AU211" s="25" t="s">
        <v>81</v>
      </c>
      <c r="AV211" s="27" t="s">
        <v>291</v>
      </c>
      <c r="AX211" s="27" t="s">
        <v>136</v>
      </c>
      <c r="AY211" s="22"/>
      <c r="AZ211" s="22"/>
      <c r="BA211" s="22"/>
      <c r="BB211" s="22"/>
      <c r="BC211" s="22"/>
      <c r="BD211" s="22"/>
      <c r="BE211" s="22"/>
      <c r="BF211" s="22"/>
      <c r="BG211" s="0"/>
      <c r="BH211" s="0"/>
    </row>
    <row r="212" s="23" customFormat="true" ht="24" hidden="false" customHeight="true" outlineLevel="0" collapsed="false">
      <c r="A212" s="23" t="s">
        <v>50</v>
      </c>
      <c r="B212" s="23" t="s">
        <v>50</v>
      </c>
      <c r="C212" s="24" t="s">
        <v>51</v>
      </c>
      <c r="D212" s="24"/>
      <c r="E212" s="23" t="s">
        <v>55</v>
      </c>
      <c r="F212" s="23" t="s">
        <v>55</v>
      </c>
      <c r="G212" s="24" t="s">
        <v>56</v>
      </c>
      <c r="H212" s="23" t="s">
        <v>52</v>
      </c>
      <c r="I212" s="23" t="s">
        <v>69</v>
      </c>
      <c r="J212" s="23" t="s">
        <v>52</v>
      </c>
      <c r="K212" s="23" t="s">
        <v>70</v>
      </c>
      <c r="L212" s="23" t="s">
        <v>71</v>
      </c>
      <c r="M212" s="23" t="s">
        <v>72</v>
      </c>
      <c r="N212" s="23" t="s">
        <v>590</v>
      </c>
      <c r="O212" s="23" t="s">
        <v>590</v>
      </c>
      <c r="P212" s="24" t="s">
        <v>591</v>
      </c>
      <c r="Q212" s="23" t="s">
        <v>592</v>
      </c>
      <c r="R212" s="23" t="s">
        <v>592</v>
      </c>
      <c r="S212" s="24" t="s">
        <v>76</v>
      </c>
      <c r="T212" s="23" t="n">
        <v>0</v>
      </c>
      <c r="U212" s="22" t="s">
        <v>77</v>
      </c>
      <c r="V212" s="23" t="s">
        <v>78</v>
      </c>
      <c r="Y212" s="23" t="s">
        <v>79</v>
      </c>
      <c r="Z212" s="23" t="s">
        <v>80</v>
      </c>
      <c r="AA212" s="23" t="s">
        <v>81</v>
      </c>
      <c r="AB212" s="23" t="s">
        <v>82</v>
      </c>
      <c r="AD212" s="23" t="str">
        <f aca="false">Q212</f>
        <v>PaymentBookingIdentifier</v>
      </c>
      <c r="AF212" s="23" t="n">
        <f aca="false">COUNTIF($AE$2:$AE$218,AE212)</f>
        <v>0</v>
      </c>
      <c r="AH212" s="24"/>
      <c r="AY212" s="22"/>
      <c r="AZ212" s="22"/>
      <c r="BA212" s="22"/>
      <c r="BB212" s="22"/>
      <c r="BC212" s="22"/>
      <c r="BD212" s="22"/>
      <c r="BE212" s="22"/>
      <c r="BF212" s="22"/>
      <c r="BG212" s="0"/>
      <c r="BH212" s="0"/>
    </row>
    <row r="213" s="23" customFormat="true" ht="24" hidden="false" customHeight="true" outlineLevel="0" collapsed="false">
      <c r="A213" s="23" t="s">
        <v>50</v>
      </c>
      <c r="B213" s="23" t="s">
        <v>50</v>
      </c>
      <c r="C213" s="24" t="s">
        <v>51</v>
      </c>
      <c r="D213" s="24"/>
      <c r="E213" s="23" t="s">
        <v>55</v>
      </c>
      <c r="F213" s="23" t="s">
        <v>55</v>
      </c>
      <c r="G213" s="24" t="s">
        <v>56</v>
      </c>
      <c r="H213" s="23" t="s">
        <v>52</v>
      </c>
      <c r="I213" s="23" t="s">
        <v>69</v>
      </c>
      <c r="J213" s="23" t="s">
        <v>52</v>
      </c>
      <c r="K213" s="23" t="s">
        <v>70</v>
      </c>
      <c r="L213" s="23" t="s">
        <v>71</v>
      </c>
      <c r="M213" s="23" t="s">
        <v>72</v>
      </c>
      <c r="N213" s="23" t="s">
        <v>590</v>
      </c>
      <c r="O213" s="23" t="s">
        <v>590</v>
      </c>
      <c r="P213" s="24" t="s">
        <v>591</v>
      </c>
      <c r="Q213" s="23" t="s">
        <v>288</v>
      </c>
      <c r="R213" s="23" t="s">
        <v>288</v>
      </c>
      <c r="S213" s="24" t="s">
        <v>593</v>
      </c>
      <c r="T213" s="23" t="n">
        <v>1</v>
      </c>
      <c r="U213" s="22" t="s">
        <v>77</v>
      </c>
      <c r="V213" s="23" t="s">
        <v>78</v>
      </c>
      <c r="Y213" s="23" t="s">
        <v>79</v>
      </c>
      <c r="AA213" s="23" t="s">
        <v>321</v>
      </c>
      <c r="AB213" s="23" t="s">
        <v>321</v>
      </c>
      <c r="AD213" s="20" t="str">
        <f aca="false">Q213</f>
        <v>BookingIdentifier</v>
      </c>
      <c r="AE213" s="23" t="s">
        <v>594</v>
      </c>
      <c r="AF213" s="23" t="n">
        <f aca="false">COUNTIF($AE$2:$AE$218,AE213)</f>
        <v>1</v>
      </c>
      <c r="AG213" s="23" t="s">
        <v>595</v>
      </c>
      <c r="AH213" s="24"/>
      <c r="AI213" s="23" t="s">
        <v>72</v>
      </c>
      <c r="AJ213" s="26" t="s">
        <v>590</v>
      </c>
      <c r="AK213" s="25" t="s">
        <v>135</v>
      </c>
      <c r="AL213" s="25" t="s">
        <v>135</v>
      </c>
      <c r="AM213" s="25" t="str">
        <f aca="false">AA213</f>
        <v>FK-Booking</v>
      </c>
      <c r="AN213" s="23" t="s">
        <v>288</v>
      </c>
      <c r="AP213" s="23" t="s">
        <v>172</v>
      </c>
      <c r="AQ213" s="20" t="s">
        <v>137</v>
      </c>
      <c r="AR213" s="26" t="s">
        <v>286</v>
      </c>
      <c r="AS213" s="25" t="s">
        <v>138</v>
      </c>
      <c r="AT213" s="25" t="s">
        <v>138</v>
      </c>
      <c r="AU213" s="25" t="s">
        <v>81</v>
      </c>
      <c r="AV213" s="23" t="s">
        <v>288</v>
      </c>
      <c r="AX213" s="23" t="s">
        <v>136</v>
      </c>
      <c r="AY213" s="22"/>
      <c r="AZ213" s="22"/>
      <c r="BA213" s="22"/>
      <c r="BB213" s="22"/>
      <c r="BC213" s="22"/>
      <c r="BD213" s="22"/>
      <c r="BE213" s="22"/>
      <c r="BF213" s="22"/>
      <c r="BG213" s="0"/>
      <c r="BH213" s="0"/>
    </row>
    <row r="214" s="23" customFormat="true" ht="24" hidden="false" customHeight="true" outlineLevel="0" collapsed="false">
      <c r="A214" s="23" t="s">
        <v>50</v>
      </c>
      <c r="B214" s="23" t="s">
        <v>50</v>
      </c>
      <c r="C214" s="24" t="s">
        <v>51</v>
      </c>
      <c r="D214" s="24"/>
      <c r="E214" s="23" t="s">
        <v>55</v>
      </c>
      <c r="F214" s="23" t="s">
        <v>55</v>
      </c>
      <c r="G214" s="24" t="s">
        <v>56</v>
      </c>
      <c r="H214" s="23" t="s">
        <v>52</v>
      </c>
      <c r="I214" s="23" t="s">
        <v>69</v>
      </c>
      <c r="J214" s="23" t="s">
        <v>52</v>
      </c>
      <c r="K214" s="23" t="s">
        <v>70</v>
      </c>
      <c r="L214" s="23" t="s">
        <v>71</v>
      </c>
      <c r="M214" s="23" t="s">
        <v>72</v>
      </c>
      <c r="N214" s="23" t="s">
        <v>590</v>
      </c>
      <c r="O214" s="23" t="s">
        <v>590</v>
      </c>
      <c r="P214" s="24" t="s">
        <v>591</v>
      </c>
      <c r="Q214" s="23" t="s">
        <v>291</v>
      </c>
      <c r="R214" s="23" t="s">
        <v>291</v>
      </c>
      <c r="S214" s="24" t="s">
        <v>596</v>
      </c>
      <c r="T214" s="23" t="n">
        <v>2</v>
      </c>
      <c r="U214" s="22" t="s">
        <v>77</v>
      </c>
      <c r="V214" s="23" t="s">
        <v>78</v>
      </c>
      <c r="Y214" s="23" t="s">
        <v>79</v>
      </c>
      <c r="AA214" s="23" t="s">
        <v>293</v>
      </c>
      <c r="AB214" s="23" t="s">
        <v>293</v>
      </c>
      <c r="AD214" s="20" t="str">
        <f aca="false">Q214</f>
        <v>UniqueInternalPaymentIdentifier</v>
      </c>
      <c r="AE214" s="23" t="s">
        <v>597</v>
      </c>
      <c r="AF214" s="23" t="n">
        <f aca="false">COUNTIF($AE$2:$AE$218,AE214)</f>
        <v>1</v>
      </c>
      <c r="AG214" s="23" t="s">
        <v>421</v>
      </c>
      <c r="AH214" s="24"/>
      <c r="AI214" s="23" t="s">
        <v>72</v>
      </c>
      <c r="AJ214" s="26" t="s">
        <v>590</v>
      </c>
      <c r="AK214" s="25" t="s">
        <v>135</v>
      </c>
      <c r="AL214" s="25" t="s">
        <v>135</v>
      </c>
      <c r="AM214" s="25" t="str">
        <f aca="false">AA214</f>
        <v>FK-Payment</v>
      </c>
      <c r="AN214" s="23" t="s">
        <v>291</v>
      </c>
      <c r="AP214" s="23" t="s">
        <v>172</v>
      </c>
      <c r="AQ214" s="20" t="s">
        <v>137</v>
      </c>
      <c r="AR214" s="26" t="s">
        <v>55</v>
      </c>
      <c r="AS214" s="25" t="s">
        <v>138</v>
      </c>
      <c r="AT214" s="25" t="s">
        <v>138</v>
      </c>
      <c r="AU214" s="25" t="s">
        <v>81</v>
      </c>
      <c r="AV214" s="23" t="s">
        <v>291</v>
      </c>
      <c r="AX214" s="23" t="s">
        <v>136</v>
      </c>
      <c r="AY214" s="22"/>
      <c r="AZ214" s="22"/>
      <c r="BA214" s="22"/>
      <c r="BB214" s="22"/>
      <c r="BC214" s="22"/>
      <c r="BD214" s="22"/>
      <c r="BE214" s="22"/>
      <c r="BF214" s="22"/>
      <c r="BG214" s="0"/>
      <c r="BH214" s="0"/>
    </row>
    <row r="215" customFormat="false" ht="24" hidden="false" customHeight="true" outlineLevel="0" collapsed="false">
      <c r="A215" s="27" t="s">
        <v>50</v>
      </c>
      <c r="B215" s="27" t="s">
        <v>50</v>
      </c>
      <c r="C215" s="3" t="s">
        <v>51</v>
      </c>
      <c r="D215" s="3"/>
      <c r="E215" s="27" t="s">
        <v>63</v>
      </c>
      <c r="F215" s="27" t="s">
        <v>63</v>
      </c>
      <c r="G215" s="3" t="s">
        <v>64</v>
      </c>
      <c r="H215" s="27" t="s">
        <v>52</v>
      </c>
      <c r="I215" s="23" t="s">
        <v>69</v>
      </c>
      <c r="J215" s="23" t="s">
        <v>52</v>
      </c>
      <c r="K215" s="23" t="s">
        <v>70</v>
      </c>
      <c r="L215" s="1" t="s">
        <v>71</v>
      </c>
      <c r="M215" s="1" t="s">
        <v>72</v>
      </c>
      <c r="N215" s="1" t="s">
        <v>598</v>
      </c>
      <c r="O215" s="1" t="s">
        <v>598</v>
      </c>
      <c r="P215" s="2" t="s">
        <v>599</v>
      </c>
      <c r="Q215" s="27" t="s">
        <v>600</v>
      </c>
      <c r="R215" s="27" t="s">
        <v>600</v>
      </c>
      <c r="S215" s="3" t="s">
        <v>76</v>
      </c>
      <c r="T215" s="1" t="n">
        <v>0</v>
      </c>
      <c r="U215" s="22" t="s">
        <v>77</v>
      </c>
      <c r="V215" s="1" t="s">
        <v>78</v>
      </c>
      <c r="Y215" s="27" t="s">
        <v>79</v>
      </c>
      <c r="Z215" s="1" t="s">
        <v>80</v>
      </c>
      <c r="AA215" s="20" t="s">
        <v>81</v>
      </c>
      <c r="AB215" s="20" t="s">
        <v>82</v>
      </c>
      <c r="AD215" s="20" t="str">
        <f aca="false">Q215</f>
        <v>ClientPartyIdentifier</v>
      </c>
      <c r="AF215" s="27" t="n">
        <f aca="false">COUNTIF($AE$2:$AE$218,AE215)</f>
        <v>0</v>
      </c>
      <c r="AI215" s="27"/>
      <c r="AJ215" s="1"/>
      <c r="AK215" s="1"/>
      <c r="AL215" s="1"/>
      <c r="AM215" s="1"/>
      <c r="AN215" s="27"/>
      <c r="AO215" s="27"/>
      <c r="AQ215" s="27"/>
      <c r="AR215" s="1"/>
      <c r="AS215" s="1"/>
      <c r="AT215" s="1"/>
      <c r="AU215" s="1"/>
      <c r="AV215" s="27"/>
      <c r="AW215" s="27"/>
    </row>
    <row r="216" customFormat="false" ht="24" hidden="false" customHeight="true" outlineLevel="0" collapsed="false">
      <c r="A216" s="27" t="s">
        <v>50</v>
      </c>
      <c r="B216" s="27" t="s">
        <v>50</v>
      </c>
      <c r="C216" s="3" t="s">
        <v>51</v>
      </c>
      <c r="D216" s="3"/>
      <c r="E216" s="27" t="s">
        <v>63</v>
      </c>
      <c r="F216" s="27" t="s">
        <v>63</v>
      </c>
      <c r="G216" s="3" t="s">
        <v>64</v>
      </c>
      <c r="H216" s="27" t="s">
        <v>52</v>
      </c>
      <c r="I216" s="23" t="s">
        <v>69</v>
      </c>
      <c r="J216" s="23" t="s">
        <v>52</v>
      </c>
      <c r="K216" s="23" t="s">
        <v>70</v>
      </c>
      <c r="L216" s="1" t="s">
        <v>71</v>
      </c>
      <c r="M216" s="1" t="s">
        <v>72</v>
      </c>
      <c r="N216" s="1" t="s">
        <v>598</v>
      </c>
      <c r="O216" s="1" t="s">
        <v>598</v>
      </c>
      <c r="P216" s="2" t="s">
        <v>599</v>
      </c>
      <c r="Q216" s="27" t="s">
        <v>266</v>
      </c>
      <c r="R216" s="27" t="s">
        <v>266</v>
      </c>
      <c r="T216" s="1" t="n">
        <v>1</v>
      </c>
      <c r="U216" s="22" t="s">
        <v>77</v>
      </c>
      <c r="V216" s="1" t="s">
        <v>78</v>
      </c>
      <c r="Y216" s="27" t="s">
        <v>79</v>
      </c>
      <c r="Z216" s="27"/>
      <c r="AA216" s="23" t="s">
        <v>277</v>
      </c>
      <c r="AB216" s="23" t="s">
        <v>277</v>
      </c>
      <c r="AC216" s="27"/>
      <c r="AD216" s="20" t="str">
        <f aca="false">Q216</f>
        <v>ClientIdentifier</v>
      </c>
      <c r="AE216" s="27" t="s">
        <v>601</v>
      </c>
      <c r="AF216" s="27" t="n">
        <f aca="false">COUNTIF($AE$2:$AE$218,AE216)</f>
        <v>1</v>
      </c>
      <c r="AG216" s="27" t="s">
        <v>602</v>
      </c>
      <c r="AH216" s="3"/>
      <c r="AI216" s="27" t="s">
        <v>72</v>
      </c>
      <c r="AJ216" s="4" t="s">
        <v>598</v>
      </c>
      <c r="AK216" s="25" t="s">
        <v>135</v>
      </c>
      <c r="AL216" s="25" t="s">
        <v>135</v>
      </c>
      <c r="AM216" s="25" t="str">
        <f aca="false">AA216</f>
        <v>FK-Client</v>
      </c>
      <c r="AN216" s="27" t="s">
        <v>266</v>
      </c>
      <c r="AO216" s="27"/>
      <c r="AP216" s="27" t="s">
        <v>172</v>
      </c>
      <c r="AQ216" s="20" t="s">
        <v>137</v>
      </c>
      <c r="AR216" s="4" t="s">
        <v>264</v>
      </c>
      <c r="AS216" s="25" t="s">
        <v>138</v>
      </c>
      <c r="AT216" s="25" t="s">
        <v>138</v>
      </c>
      <c r="AU216" s="25" t="s">
        <v>81</v>
      </c>
      <c r="AV216" s="27" t="s">
        <v>266</v>
      </c>
      <c r="AW216" s="27"/>
      <c r="AX216" s="27" t="s">
        <v>136</v>
      </c>
    </row>
    <row r="217" customFormat="false" ht="24" hidden="false" customHeight="true" outlineLevel="0" collapsed="false">
      <c r="A217" s="27" t="s">
        <v>50</v>
      </c>
      <c r="B217" s="27" t="s">
        <v>50</v>
      </c>
      <c r="C217" s="3" t="s">
        <v>51</v>
      </c>
      <c r="D217" s="3"/>
      <c r="E217" s="27" t="s">
        <v>63</v>
      </c>
      <c r="F217" s="27" t="s">
        <v>63</v>
      </c>
      <c r="G217" s="3" t="s">
        <v>64</v>
      </c>
      <c r="H217" s="27" t="s">
        <v>52</v>
      </c>
      <c r="I217" s="23" t="s">
        <v>69</v>
      </c>
      <c r="J217" s="23" t="s">
        <v>52</v>
      </c>
      <c r="K217" s="23" t="s">
        <v>70</v>
      </c>
      <c r="L217" s="1" t="s">
        <v>71</v>
      </c>
      <c r="M217" s="1" t="s">
        <v>72</v>
      </c>
      <c r="N217" s="1" t="s">
        <v>598</v>
      </c>
      <c r="O217" s="1" t="s">
        <v>598</v>
      </c>
      <c r="P217" s="2" t="s">
        <v>599</v>
      </c>
      <c r="Q217" s="27" t="s">
        <v>214</v>
      </c>
      <c r="R217" s="27" t="s">
        <v>214</v>
      </c>
      <c r="T217" s="1" t="n">
        <v>2</v>
      </c>
      <c r="U217" s="22" t="s">
        <v>77</v>
      </c>
      <c r="V217" s="1" t="s">
        <v>78</v>
      </c>
      <c r="Y217" s="27" t="s">
        <v>79</v>
      </c>
      <c r="AA217" s="23" t="s">
        <v>215</v>
      </c>
      <c r="AB217" s="23" t="s">
        <v>215</v>
      </c>
      <c r="AD217" s="20" t="str">
        <f aca="false">Q217</f>
        <v>PartyIdentifier</v>
      </c>
      <c r="AE217" s="27" t="s">
        <v>603</v>
      </c>
      <c r="AF217" s="27" t="n">
        <f aca="false">COUNTIF($AE$2:$AE$218,AE217)</f>
        <v>1</v>
      </c>
      <c r="AG217" s="27" t="s">
        <v>604</v>
      </c>
      <c r="AH217" s="3"/>
      <c r="AI217" s="27" t="s">
        <v>72</v>
      </c>
      <c r="AJ217" s="4" t="s">
        <v>598</v>
      </c>
      <c r="AK217" s="25" t="s">
        <v>135</v>
      </c>
      <c r="AL217" s="25" t="s">
        <v>135</v>
      </c>
      <c r="AM217" s="25" t="str">
        <f aca="false">AA217</f>
        <v>FK-Party</v>
      </c>
      <c r="AN217" s="27" t="s">
        <v>214</v>
      </c>
      <c r="AO217" s="27"/>
      <c r="AP217" s="27" t="s">
        <v>172</v>
      </c>
      <c r="AQ217" s="20" t="s">
        <v>137</v>
      </c>
      <c r="AR217" s="4" t="s">
        <v>63</v>
      </c>
      <c r="AS217" s="25" t="s">
        <v>138</v>
      </c>
      <c r="AT217" s="25" t="s">
        <v>138</v>
      </c>
      <c r="AU217" s="25" t="s">
        <v>81</v>
      </c>
      <c r="AV217" s="27" t="s">
        <v>214</v>
      </c>
      <c r="AW217" s="27"/>
      <c r="AX217" s="27" t="s">
        <v>136</v>
      </c>
    </row>
    <row r="218" s="23" customFormat="true" ht="24" hidden="false" customHeight="true" outlineLevel="0" collapsed="false">
      <c r="A218" s="23" t="s">
        <v>50</v>
      </c>
      <c r="B218" s="23" t="s">
        <v>50</v>
      </c>
      <c r="C218" s="24" t="s">
        <v>51</v>
      </c>
      <c r="D218" s="24"/>
      <c r="E218" s="23" t="s">
        <v>65</v>
      </c>
      <c r="F218" s="23" t="s">
        <v>65</v>
      </c>
      <c r="G218" s="24" t="s">
        <v>66</v>
      </c>
      <c r="H218" s="23" t="s">
        <v>52</v>
      </c>
      <c r="I218" s="23" t="s">
        <v>69</v>
      </c>
      <c r="J218" s="23" t="s">
        <v>52</v>
      </c>
      <c r="K218" s="23" t="s">
        <v>70</v>
      </c>
      <c r="L218" s="23" t="s">
        <v>71</v>
      </c>
      <c r="M218" s="23" t="s">
        <v>72</v>
      </c>
      <c r="N218" s="23" t="s">
        <v>605</v>
      </c>
      <c r="O218" s="23" t="s">
        <v>606</v>
      </c>
      <c r="P218" s="24" t="s">
        <v>607</v>
      </c>
      <c r="R218" s="24"/>
      <c r="S218" s="24"/>
      <c r="AH218" s="24"/>
      <c r="AY218" s="22"/>
      <c r="AZ218" s="22"/>
      <c r="BA218" s="22"/>
      <c r="BB218" s="22"/>
      <c r="BC218" s="22"/>
      <c r="BD218" s="22"/>
      <c r="BE218" s="22"/>
      <c r="BF218" s="22"/>
      <c r="BG218" s="0"/>
      <c r="BH218" s="0"/>
    </row>
  </sheetData>
  <autoFilter ref="A1:AX218"/>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firstPageNumber="1" useFirstPageNumber="true" horizontalDpi="300" verticalDpi="300" copies="1"/>
  <headerFooter differentFirst="false" differentOddEven="false">
    <oddHeader>&amp;C&amp;"Times New Roman,Regular"&amp;12&amp;A</oddHeader>
    <oddFooter>&amp;C&amp;"Times New Roman,Regular"&amp;12Page &amp;P</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18" activeCellId="0" sqref="B18"/>
    </sheetView>
  </sheetViews>
  <sheetFormatPr defaultColWidth="8.6796875" defaultRowHeight="12" zeroHeight="false" outlineLevelRow="0" outlineLevelCol="0"/>
  <cols>
    <col collapsed="false" customWidth="true" hidden="false" outlineLevel="0" max="1" min="1" style="22" width="19.27"/>
    <col collapsed="false" customWidth="true" hidden="false" outlineLevel="0" max="2" min="2" style="22" width="45.63"/>
  </cols>
  <sheetData>
    <row r="1" customFormat="false" ht="12.65" hidden="false" customHeight="false" outlineLevel="0" collapsed="false">
      <c r="A1" s="22" t="s">
        <v>608</v>
      </c>
    </row>
    <row r="2" customFormat="false" ht="12.65" hidden="false" customHeight="false" outlineLevel="0" collapsed="false">
      <c r="A2" s="22" t="s">
        <v>72</v>
      </c>
    </row>
    <row r="3" customFormat="false" ht="12.65" hidden="false" customHeight="false" outlineLevel="0" collapsed="false"/>
    <row r="4" customFormat="false" ht="12.65" hidden="false" customHeight="false" outlineLevel="0" collapsed="false"/>
    <row r="5" customFormat="false" ht="12.65" hidden="false" customHeight="false" outlineLevel="0" collapsed="false">
      <c r="A5" s="28" t="s">
        <v>609</v>
      </c>
      <c r="B5" s="28" t="s">
        <v>610</v>
      </c>
    </row>
    <row r="6" customFormat="false" ht="23.85" hidden="false" customHeight="false" outlineLevel="0" collapsed="false">
      <c r="A6" s="1" t="s">
        <v>78</v>
      </c>
      <c r="B6" s="2" t="s">
        <v>611</v>
      </c>
    </row>
    <row r="7" customFormat="false" ht="12" hidden="false" customHeight="false" outlineLevel="0" collapsed="false">
      <c r="A7" s="1" t="s">
        <v>203</v>
      </c>
      <c r="B7" s="2" t="s">
        <v>612</v>
      </c>
    </row>
    <row r="8" customFormat="false" ht="12" hidden="false" customHeight="false" outlineLevel="0" collapsed="false">
      <c r="A8" s="1" t="s">
        <v>85</v>
      </c>
      <c r="B8" s="2" t="s">
        <v>85</v>
      </c>
    </row>
    <row r="9" customFormat="false" ht="12" hidden="false" customHeight="false" outlineLevel="0" collapsed="false">
      <c r="A9" s="1" t="s">
        <v>312</v>
      </c>
      <c r="B9" s="2" t="s">
        <v>613</v>
      </c>
    </row>
    <row r="10" customFormat="false" ht="12" hidden="false" customHeight="false" outlineLevel="0" collapsed="false">
      <c r="A10" s="1" t="s">
        <v>328</v>
      </c>
      <c r="B10" s="2" t="s">
        <v>614</v>
      </c>
    </row>
    <row r="11" customFormat="false" ht="12" hidden="false" customHeight="false" outlineLevel="0" collapsed="false">
      <c r="A11" s="1" t="s">
        <v>206</v>
      </c>
      <c r="B11" s="2" t="s">
        <v>615</v>
      </c>
    </row>
    <row r="12" customFormat="false" ht="12" hidden="false" customHeight="false" outlineLevel="0" collapsed="false">
      <c r="A12" s="1" t="s">
        <v>149</v>
      </c>
      <c r="B12" s="2" t="s">
        <v>149</v>
      </c>
    </row>
    <row r="13" customFormat="false" ht="12" hidden="false" customHeight="false" outlineLevel="0" collapsed="false">
      <c r="A13" s="1" t="s">
        <v>174</v>
      </c>
      <c r="B13" s="2" t="s">
        <v>174</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209"/>
  <sheetViews>
    <sheetView showFormulas="false" showGridLines="true" showRowColHeaders="true" showZeros="true" rightToLeft="false" tabSelected="false" showOutlineSymbols="true" defaultGridColor="true" view="normal" topLeftCell="B1" colorId="64" zoomScale="100" zoomScaleNormal="100" zoomScalePageLayoutView="100" workbookViewId="0">
      <pane xSplit="0" ySplit="1" topLeftCell="A188" activePane="bottomLeft" state="frozen"/>
      <selection pane="topLeft" activeCell="B1" activeCellId="0" sqref="B1"/>
      <selection pane="bottomLeft" activeCell="B212" activeCellId="0" sqref="B212"/>
    </sheetView>
  </sheetViews>
  <sheetFormatPr defaultColWidth="8.6796875" defaultRowHeight="12" zeroHeight="false" outlineLevelRow="0" outlineLevelCol="0"/>
  <cols>
    <col collapsed="false" customWidth="true" hidden="false" outlineLevel="0" max="1" min="1" style="29" width="11.45"/>
    <col collapsed="false" customWidth="true" hidden="false" outlineLevel="0" max="2" min="2" style="22" width="21.73"/>
    <col collapsed="false" customWidth="true" hidden="false" outlineLevel="0" max="4" min="3" style="22" width="39"/>
    <col collapsed="false" customWidth="true" hidden="false" outlineLevel="0" max="5" min="5" style="30" width="44.18"/>
    <col collapsed="false" customWidth="true" hidden="false" outlineLevel="0" max="6" min="6" style="22" width="6.54"/>
    <col collapsed="false" customWidth="true" hidden="false" outlineLevel="0" max="7" min="7" style="22" width="54.09"/>
    <col collapsed="false" customWidth="true" hidden="false" outlineLevel="0" max="8" min="8" style="22" width="33.73"/>
    <col collapsed="false" customWidth="true" hidden="false" outlineLevel="0" max="9" min="9" style="22" width="15.91"/>
  </cols>
  <sheetData>
    <row r="1" customFormat="false" ht="12.65" hidden="false" customHeight="false" outlineLevel="0" collapsed="false">
      <c r="A1" s="19" t="s">
        <v>616</v>
      </c>
      <c r="B1" s="19" t="s">
        <v>617</v>
      </c>
      <c r="C1" s="19" t="s">
        <v>618</v>
      </c>
      <c r="D1" s="19" t="s">
        <v>619</v>
      </c>
      <c r="E1" s="31" t="s">
        <v>620</v>
      </c>
      <c r="F1" s="19" t="s">
        <v>621</v>
      </c>
      <c r="G1" s="19" t="s">
        <v>622</v>
      </c>
      <c r="H1" s="19" t="s">
        <v>623</v>
      </c>
    </row>
    <row r="2" customFormat="false" ht="12.65" hidden="false" customHeight="false" outlineLevel="0" collapsed="false">
      <c r="A2" s="29" t="s">
        <v>80</v>
      </c>
      <c r="B2" s="29" t="s">
        <v>59</v>
      </c>
      <c r="C2" s="29" t="s">
        <v>567</v>
      </c>
      <c r="D2" s="29" t="s">
        <v>624</v>
      </c>
    </row>
    <row r="3" customFormat="false" ht="12.65" hidden="false" customHeight="false" outlineLevel="0" collapsed="false">
      <c r="A3" s="29" t="s">
        <v>80</v>
      </c>
      <c r="B3" s="29" t="s">
        <v>59</v>
      </c>
      <c r="C3" s="29" t="s">
        <v>571</v>
      </c>
      <c r="D3" s="29" t="s">
        <v>625</v>
      </c>
    </row>
    <row r="4" customFormat="false" ht="12.65" hidden="false" customHeight="false" outlineLevel="0" collapsed="false">
      <c r="A4" s="29" t="s">
        <v>80</v>
      </c>
      <c r="B4" s="29" t="s">
        <v>59</v>
      </c>
      <c r="C4" s="29" t="s">
        <v>563</v>
      </c>
      <c r="D4" s="29" t="s">
        <v>626</v>
      </c>
      <c r="G4" s="29" t="s">
        <v>627</v>
      </c>
      <c r="I4" s="29" t="s">
        <v>73</v>
      </c>
    </row>
    <row r="5" customFormat="false" ht="12.65" hidden="false" customHeight="false" outlineLevel="0" collapsed="false">
      <c r="A5" s="29" t="s">
        <v>80</v>
      </c>
      <c r="B5" s="29" t="s">
        <v>73</v>
      </c>
      <c r="C5" s="29" t="s">
        <v>628</v>
      </c>
      <c r="D5" s="29" t="s">
        <v>629</v>
      </c>
      <c r="F5" s="29" t="s">
        <v>630</v>
      </c>
      <c r="G5" s="29" t="s">
        <v>631</v>
      </c>
      <c r="I5" s="29" t="s">
        <v>235</v>
      </c>
    </row>
    <row r="6" customFormat="false" ht="12.65" hidden="false" customHeight="false" outlineLevel="0" collapsed="false">
      <c r="A6" s="29" t="s">
        <v>80</v>
      </c>
      <c r="B6" s="29" t="s">
        <v>128</v>
      </c>
      <c r="C6" s="29" t="s">
        <v>632</v>
      </c>
      <c r="D6" s="29" t="s">
        <v>629</v>
      </c>
      <c r="E6" s="30" t="s">
        <v>628</v>
      </c>
      <c r="I6" s="29" t="s">
        <v>218</v>
      </c>
    </row>
    <row r="7" customFormat="false" ht="12.65" hidden="false" customHeight="false" outlineLevel="0" collapsed="false">
      <c r="A7" s="29" t="s">
        <v>80</v>
      </c>
      <c r="B7" s="29" t="s">
        <v>73</v>
      </c>
      <c r="C7" s="29" t="s">
        <v>633</v>
      </c>
      <c r="D7" s="29" t="s">
        <v>634</v>
      </c>
      <c r="F7" s="29" t="s">
        <v>630</v>
      </c>
      <c r="G7" s="29" t="s">
        <v>635</v>
      </c>
      <c r="I7" s="29"/>
    </row>
    <row r="8" customFormat="false" ht="12.65" hidden="false" customHeight="false" outlineLevel="0" collapsed="false">
      <c r="A8" s="29" t="s">
        <v>80</v>
      </c>
      <c r="B8" s="29" t="s">
        <v>128</v>
      </c>
      <c r="C8" s="29" t="s">
        <v>636</v>
      </c>
      <c r="D8" s="29" t="s">
        <v>634</v>
      </c>
      <c r="E8" s="30" t="s">
        <v>633</v>
      </c>
      <c r="G8" s="29" t="s">
        <v>635</v>
      </c>
      <c r="I8" s="29"/>
    </row>
    <row r="9" customFormat="false" ht="12.65" hidden="false" customHeight="false" outlineLevel="0" collapsed="false">
      <c r="A9" s="29" t="s">
        <v>80</v>
      </c>
      <c r="B9" s="29" t="s">
        <v>73</v>
      </c>
      <c r="C9" s="29" t="s">
        <v>637</v>
      </c>
      <c r="D9" s="29" t="s">
        <v>638</v>
      </c>
      <c r="F9" s="29" t="s">
        <v>630</v>
      </c>
      <c r="I9" s="29"/>
    </row>
    <row r="10" customFormat="false" ht="12.65" hidden="false" customHeight="false" outlineLevel="0" collapsed="false">
      <c r="A10" s="29" t="s">
        <v>80</v>
      </c>
      <c r="B10" s="29" t="s">
        <v>128</v>
      </c>
      <c r="C10" s="29" t="s">
        <v>639</v>
      </c>
      <c r="D10" s="29" t="s">
        <v>638</v>
      </c>
      <c r="E10" s="30" t="s">
        <v>637</v>
      </c>
      <c r="I10" s="29"/>
    </row>
    <row r="11" customFormat="false" ht="12.65" hidden="false" customHeight="false" outlineLevel="0" collapsed="false">
      <c r="A11" s="29" t="s">
        <v>80</v>
      </c>
      <c r="B11" s="29" t="s">
        <v>73</v>
      </c>
      <c r="C11" s="29" t="s">
        <v>640</v>
      </c>
      <c r="D11" s="29" t="s">
        <v>641</v>
      </c>
      <c r="F11" s="29" t="s">
        <v>630</v>
      </c>
      <c r="G11" s="29" t="s">
        <v>635</v>
      </c>
    </row>
    <row r="12" customFormat="false" ht="12.65" hidden="false" customHeight="false" outlineLevel="0" collapsed="false">
      <c r="A12" s="29" t="s">
        <v>80</v>
      </c>
      <c r="B12" s="29" t="s">
        <v>128</v>
      </c>
      <c r="C12" s="29" t="s">
        <v>642</v>
      </c>
      <c r="D12" s="29" t="s">
        <v>641</v>
      </c>
      <c r="E12" s="30" t="s">
        <v>640</v>
      </c>
      <c r="G12" s="29" t="s">
        <v>635</v>
      </c>
    </row>
    <row r="13" customFormat="false" ht="35.05" hidden="false" customHeight="false" outlineLevel="0" collapsed="false">
      <c r="A13" s="29" t="s">
        <v>80</v>
      </c>
      <c r="B13" s="29" t="s">
        <v>156</v>
      </c>
      <c r="C13" s="29" t="s">
        <v>643</v>
      </c>
      <c r="D13" s="29" t="s">
        <v>624</v>
      </c>
      <c r="E13" s="30" t="s">
        <v>644</v>
      </c>
      <c r="G13" s="29" t="s">
        <v>645</v>
      </c>
    </row>
    <row r="14" customFormat="false" ht="35.05" hidden="false" customHeight="false" outlineLevel="0" collapsed="false">
      <c r="A14" s="29" t="s">
        <v>80</v>
      </c>
      <c r="B14" s="29" t="s">
        <v>156</v>
      </c>
      <c r="C14" s="29" t="s">
        <v>646</v>
      </c>
      <c r="D14" s="29" t="s">
        <v>625</v>
      </c>
      <c r="E14" s="30" t="s">
        <v>647</v>
      </c>
    </row>
    <row r="15" customFormat="false" ht="12" hidden="false" customHeight="false" outlineLevel="0" collapsed="false">
      <c r="A15" s="29" t="s">
        <v>80</v>
      </c>
      <c r="B15" s="29" t="s">
        <v>186</v>
      </c>
      <c r="C15" s="29" t="s">
        <v>648</v>
      </c>
      <c r="D15" s="29" t="s">
        <v>624</v>
      </c>
      <c r="E15" s="30" t="s">
        <v>643</v>
      </c>
    </row>
    <row r="16" customFormat="false" ht="12" hidden="false" customHeight="false" outlineLevel="0" collapsed="false">
      <c r="A16" s="29" t="s">
        <v>80</v>
      </c>
      <c r="B16" s="29" t="s">
        <v>264</v>
      </c>
      <c r="C16" s="29" t="s">
        <v>649</v>
      </c>
      <c r="D16" s="29" t="s">
        <v>650</v>
      </c>
    </row>
    <row r="17" customFormat="false" ht="12" hidden="false" customHeight="false" outlineLevel="0" collapsed="false">
      <c r="A17" s="29" t="s">
        <v>80</v>
      </c>
      <c r="B17" s="29" t="s">
        <v>275</v>
      </c>
      <c r="C17" s="29" t="s">
        <v>651</v>
      </c>
      <c r="D17" s="29" t="s">
        <v>650</v>
      </c>
    </row>
    <row r="18" customFormat="false" ht="12" hidden="false" customHeight="false" outlineLevel="0" collapsed="false">
      <c r="A18" s="29" t="s">
        <v>80</v>
      </c>
      <c r="B18" s="29" t="s">
        <v>264</v>
      </c>
      <c r="C18" s="29" t="s">
        <v>652</v>
      </c>
      <c r="D18" s="29" t="s">
        <v>650</v>
      </c>
    </row>
    <row r="19" customFormat="false" ht="12" hidden="false" customHeight="false" outlineLevel="0" collapsed="false">
      <c r="A19" s="29" t="s">
        <v>80</v>
      </c>
      <c r="B19" s="29" t="s">
        <v>275</v>
      </c>
      <c r="C19" s="29" t="s">
        <v>653</v>
      </c>
      <c r="D19" s="29" t="s">
        <v>650</v>
      </c>
    </row>
    <row r="20" customFormat="false" ht="46.25" hidden="false" customHeight="false" outlineLevel="0" collapsed="false">
      <c r="A20" s="29" t="s">
        <v>80</v>
      </c>
      <c r="B20" s="29" t="s">
        <v>55</v>
      </c>
      <c r="C20" s="29" t="s">
        <v>55</v>
      </c>
      <c r="D20" s="29" t="s">
        <v>55</v>
      </c>
      <c r="E20" s="30" t="s">
        <v>654</v>
      </c>
    </row>
    <row r="21" customFormat="false" ht="23.85" hidden="false" customHeight="false" outlineLevel="0" collapsed="false">
      <c r="A21" s="29" t="s">
        <v>80</v>
      </c>
      <c r="B21" s="29" t="s">
        <v>183</v>
      </c>
      <c r="C21" s="29" t="s">
        <v>655</v>
      </c>
      <c r="D21" s="29" t="s">
        <v>655</v>
      </c>
      <c r="E21" s="30" t="s">
        <v>656</v>
      </c>
      <c r="G21" s="29" t="s">
        <v>657</v>
      </c>
    </row>
    <row r="22" customFormat="false" ht="12" hidden="false" customHeight="false" outlineLevel="0" collapsed="false">
      <c r="A22" s="29" t="s">
        <v>80</v>
      </c>
      <c r="B22" s="29" t="s">
        <v>183</v>
      </c>
      <c r="C22" s="29" t="s">
        <v>658</v>
      </c>
      <c r="D22" s="29" t="s">
        <v>658</v>
      </c>
      <c r="E22" s="30" t="s">
        <v>659</v>
      </c>
      <c r="G22" s="29" t="s">
        <v>660</v>
      </c>
    </row>
    <row r="23" customFormat="false" ht="12" hidden="false" customHeight="false" outlineLevel="0" collapsed="false">
      <c r="A23" s="29" t="s">
        <v>80</v>
      </c>
      <c r="B23" s="29" t="s">
        <v>580</v>
      </c>
      <c r="C23" s="29" t="s">
        <v>427</v>
      </c>
      <c r="D23" s="29" t="s">
        <v>580</v>
      </c>
      <c r="E23" s="30" t="s">
        <v>55</v>
      </c>
      <c r="G23" s="29" t="s">
        <v>661</v>
      </c>
    </row>
    <row r="24" customFormat="false" ht="12" hidden="false" customHeight="false" outlineLevel="0" collapsed="false">
      <c r="A24" s="29" t="s">
        <v>80</v>
      </c>
      <c r="B24" s="29" t="s">
        <v>580</v>
      </c>
      <c r="C24" s="29" t="s">
        <v>430</v>
      </c>
      <c r="D24" s="29" t="s">
        <v>580</v>
      </c>
      <c r="E24" s="30" t="s">
        <v>55</v>
      </c>
    </row>
    <row r="25" customFormat="false" ht="12" hidden="false" customHeight="false" outlineLevel="0" collapsed="false">
      <c r="A25" s="29" t="s">
        <v>80</v>
      </c>
      <c r="B25" s="29" t="s">
        <v>580</v>
      </c>
      <c r="C25" s="29" t="s">
        <v>433</v>
      </c>
      <c r="D25" s="29" t="s">
        <v>580</v>
      </c>
      <c r="E25" s="30" t="s">
        <v>55</v>
      </c>
    </row>
    <row r="26" customFormat="false" ht="12" hidden="false" customHeight="false" outlineLevel="0" collapsed="false">
      <c r="A26" s="29" t="s">
        <v>80</v>
      </c>
      <c r="B26" s="29" t="s">
        <v>580</v>
      </c>
      <c r="C26" s="29" t="s">
        <v>436</v>
      </c>
      <c r="D26" s="29" t="s">
        <v>580</v>
      </c>
      <c r="E26" s="30" t="s">
        <v>55</v>
      </c>
    </row>
    <row r="27" customFormat="false" ht="12" hidden="false" customHeight="false" outlineLevel="0" collapsed="false">
      <c r="A27" s="29" t="s">
        <v>80</v>
      </c>
      <c r="B27" s="29" t="s">
        <v>580</v>
      </c>
      <c r="C27" s="29" t="s">
        <v>439</v>
      </c>
      <c r="D27" s="29" t="s">
        <v>580</v>
      </c>
      <c r="E27" s="30" t="s">
        <v>55</v>
      </c>
    </row>
    <row r="28" customFormat="false" ht="12" hidden="false" customHeight="false" outlineLevel="0" collapsed="false">
      <c r="A28" s="29" t="s">
        <v>80</v>
      </c>
      <c r="B28" s="29" t="s">
        <v>580</v>
      </c>
      <c r="C28" s="29" t="s">
        <v>662</v>
      </c>
      <c r="D28" s="29" t="s">
        <v>580</v>
      </c>
      <c r="E28" s="30" t="s">
        <v>55</v>
      </c>
    </row>
    <row r="29" customFormat="false" ht="12" hidden="false" customHeight="false" outlineLevel="0" collapsed="false">
      <c r="A29" s="29" t="s">
        <v>80</v>
      </c>
      <c r="B29" s="29" t="s">
        <v>286</v>
      </c>
      <c r="C29" s="29" t="s">
        <v>286</v>
      </c>
      <c r="D29" s="29" t="s">
        <v>286</v>
      </c>
      <c r="E29" s="30" t="s">
        <v>663</v>
      </c>
      <c r="G29" s="29" t="s">
        <v>664</v>
      </c>
    </row>
    <row r="30" customFormat="false" ht="12" hidden="false" customHeight="false" outlineLevel="0" collapsed="false">
      <c r="A30" s="29" t="s">
        <v>80</v>
      </c>
      <c r="B30" s="29" t="s">
        <v>590</v>
      </c>
      <c r="C30" s="29" t="s">
        <v>590</v>
      </c>
      <c r="D30" s="29" t="s">
        <v>286</v>
      </c>
      <c r="E30" s="30" t="s">
        <v>665</v>
      </c>
      <c r="G30" s="29" t="s">
        <v>664</v>
      </c>
    </row>
    <row r="31" customFormat="false" ht="12" hidden="false" customHeight="false" outlineLevel="0" collapsed="false">
      <c r="A31" s="29" t="s">
        <v>80</v>
      </c>
      <c r="B31" s="29" t="s">
        <v>315</v>
      </c>
      <c r="C31" s="29" t="s">
        <v>315</v>
      </c>
      <c r="D31" s="29" t="s">
        <v>286</v>
      </c>
      <c r="E31" s="30" t="s">
        <v>666</v>
      </c>
      <c r="G31" s="29" t="s">
        <v>664</v>
      </c>
    </row>
    <row r="32" customFormat="false" ht="23.85" hidden="false" customHeight="false" outlineLevel="0" collapsed="false">
      <c r="A32" s="29" t="s">
        <v>80</v>
      </c>
      <c r="B32" s="29" t="s">
        <v>177</v>
      </c>
      <c r="C32" s="29" t="s">
        <v>667</v>
      </c>
      <c r="D32" s="29" t="s">
        <v>655</v>
      </c>
      <c r="E32" s="30" t="s">
        <v>668</v>
      </c>
    </row>
    <row r="33" customFormat="false" ht="12" hidden="false" customHeight="false" outlineLevel="0" collapsed="false">
      <c r="A33" s="29" t="s">
        <v>80</v>
      </c>
      <c r="B33" s="29" t="s">
        <v>368</v>
      </c>
      <c r="C33" s="29" t="s">
        <v>669</v>
      </c>
      <c r="D33" s="29" t="s">
        <v>655</v>
      </c>
      <c r="E33" s="30" t="s">
        <v>655</v>
      </c>
    </row>
    <row r="34" customFormat="false" ht="12" hidden="false" customHeight="false" outlineLevel="0" collapsed="false">
      <c r="A34" s="29" t="s">
        <v>80</v>
      </c>
      <c r="B34" s="29" t="s">
        <v>386</v>
      </c>
      <c r="C34" s="29" t="s">
        <v>670</v>
      </c>
      <c r="D34" s="29" t="s">
        <v>655</v>
      </c>
      <c r="E34" s="30" t="s">
        <v>655</v>
      </c>
    </row>
    <row r="35" customFormat="false" ht="12" hidden="false" customHeight="false" outlineLevel="0" collapsed="false">
      <c r="A35" s="29" t="s">
        <v>80</v>
      </c>
      <c r="B35" s="29" t="s">
        <v>393</v>
      </c>
      <c r="C35" s="29" t="s">
        <v>671</v>
      </c>
      <c r="D35" s="29" t="s">
        <v>655</v>
      </c>
      <c r="E35" s="30" t="s">
        <v>655</v>
      </c>
    </row>
    <row r="36" customFormat="false" ht="12" hidden="false" customHeight="false" outlineLevel="0" collapsed="false">
      <c r="A36" s="29" t="s">
        <v>80</v>
      </c>
      <c r="B36" s="29" t="s">
        <v>73</v>
      </c>
      <c r="C36" s="29" t="s">
        <v>672</v>
      </c>
      <c r="D36" s="29" t="s">
        <v>673</v>
      </c>
    </row>
    <row r="37" customFormat="false" ht="12" hidden="false" customHeight="false" outlineLevel="0" collapsed="false">
      <c r="A37" s="29" t="s">
        <v>80</v>
      </c>
      <c r="B37" s="29" t="s">
        <v>128</v>
      </c>
      <c r="C37" s="29" t="s">
        <v>674</v>
      </c>
      <c r="D37" s="29" t="s">
        <v>673</v>
      </c>
      <c r="E37" s="32" t="s">
        <v>672</v>
      </c>
    </row>
    <row r="38" customFormat="false" ht="23.85" hidden="false" customHeight="false" outlineLevel="0" collapsed="false">
      <c r="A38" s="29" t="s">
        <v>80</v>
      </c>
      <c r="B38" s="29" t="s">
        <v>402</v>
      </c>
      <c r="C38" s="29" t="s">
        <v>675</v>
      </c>
      <c r="D38" s="29" t="s">
        <v>655</v>
      </c>
      <c r="E38" s="32" t="s">
        <v>676</v>
      </c>
    </row>
    <row r="39" customFormat="false" ht="23.85" hidden="false" customHeight="false" outlineLevel="0" collapsed="false">
      <c r="A39" s="29" t="s">
        <v>80</v>
      </c>
      <c r="B39" s="29" t="s">
        <v>338</v>
      </c>
      <c r="C39" s="29" t="s">
        <v>677</v>
      </c>
      <c r="D39" s="29" t="s">
        <v>655</v>
      </c>
      <c r="E39" s="32" t="s">
        <v>678</v>
      </c>
    </row>
    <row r="40" customFormat="false" ht="12" hidden="false" customHeight="false" outlineLevel="0" collapsed="false">
      <c r="A40" s="29" t="s">
        <v>80</v>
      </c>
      <c r="B40" s="29" t="s">
        <v>73</v>
      </c>
      <c r="C40" s="29" t="str">
        <f aca="false">"IPI"&amp;G40&amp;B40</f>
        <v>IPIDebtorPostalAddress</v>
      </c>
      <c r="D40" s="29" t="s">
        <v>679</v>
      </c>
      <c r="E40" s="32"/>
      <c r="G40" s="29" t="s">
        <v>680</v>
      </c>
    </row>
    <row r="41" customFormat="false" ht="12" hidden="false" customHeight="false" outlineLevel="0" collapsed="false">
      <c r="A41" s="29" t="s">
        <v>80</v>
      </c>
      <c r="B41" s="29" t="s">
        <v>128</v>
      </c>
      <c r="C41" s="29" t="str">
        <f aca="false">"IPI"&amp;G41&amp;B41</f>
        <v>IPIDebtorPartyIdentification</v>
      </c>
      <c r="D41" s="29" t="s">
        <v>679</v>
      </c>
      <c r="E41" s="32" t="str">
        <f aca="false">C40</f>
        <v>IPIDebtorPostalAddress</v>
      </c>
      <c r="G41" s="29" t="s">
        <v>680</v>
      </c>
    </row>
    <row r="42" customFormat="false" ht="12" hidden="false" customHeight="false" outlineLevel="0" collapsed="false">
      <c r="A42" s="29" t="s">
        <v>80</v>
      </c>
      <c r="B42" s="29" t="s">
        <v>235</v>
      </c>
      <c r="C42" s="29" t="str">
        <f aca="false">"IPI"&amp;G42&amp;B42</f>
        <v>IPIDebtorPartyRoleAccount</v>
      </c>
      <c r="D42" s="29" t="s">
        <v>679</v>
      </c>
      <c r="E42" s="32" t="str">
        <f aca="false">C41</f>
        <v>IPIDebtorPartyIdentification</v>
      </c>
      <c r="G42" s="29" t="s">
        <v>680</v>
      </c>
    </row>
    <row r="43" customFormat="false" ht="35.05" hidden="false" customHeight="false" outlineLevel="0" collapsed="false">
      <c r="A43" s="29" t="s">
        <v>80</v>
      </c>
      <c r="B43" s="29" t="s">
        <v>218</v>
      </c>
      <c r="C43" s="29" t="str">
        <f aca="false">"IPI"&amp;G43&amp;B43</f>
        <v>IPIDebtorPaymentPartyRole</v>
      </c>
      <c r="D43" s="29" t="s">
        <v>679</v>
      </c>
      <c r="E43" s="32" t="str">
        <f aca="false">C42&amp;", "&amp;C41&amp;", "&amp;$C$21</f>
        <v>IPIDebtorPartyRoleAccount, IPIDebtorPartyIdentification, InboundPaymentInstruction</v>
      </c>
      <c r="G43" s="29" t="s">
        <v>680</v>
      </c>
      <c r="H43" s="22" t="str">
        <f aca="false">"{ ""PaymentRole"" : """&amp;G43&amp;""" }"</f>
        <v>{ "PaymentRole" : "Debtor" }</v>
      </c>
    </row>
    <row r="44" customFormat="false" ht="12" hidden="false" customHeight="false" outlineLevel="0" collapsed="false">
      <c r="A44" s="29" t="s">
        <v>80</v>
      </c>
      <c r="B44" s="29" t="s">
        <v>73</v>
      </c>
      <c r="C44" s="29" t="str">
        <f aca="false">"IPI"&amp;G44&amp;B44</f>
        <v>IPICreditorPostalAddress</v>
      </c>
      <c r="D44" s="29" t="s">
        <v>681</v>
      </c>
      <c r="E44" s="32"/>
      <c r="G44" s="29" t="s">
        <v>682</v>
      </c>
    </row>
    <row r="45" customFormat="false" ht="12" hidden="false" customHeight="false" outlineLevel="0" collapsed="false">
      <c r="A45" s="29" t="s">
        <v>80</v>
      </c>
      <c r="B45" s="29" t="s">
        <v>128</v>
      </c>
      <c r="C45" s="29" t="str">
        <f aca="false">"IPI"&amp;G45&amp;B45</f>
        <v>IPICreditorPartyIdentification</v>
      </c>
      <c r="D45" s="29" t="s">
        <v>681</v>
      </c>
      <c r="E45" s="32" t="str">
        <f aca="false">C44</f>
        <v>IPICreditorPostalAddress</v>
      </c>
      <c r="G45" s="29" t="s">
        <v>682</v>
      </c>
    </row>
    <row r="46" customFormat="false" ht="12" hidden="false" customHeight="false" outlineLevel="0" collapsed="false">
      <c r="A46" s="29" t="s">
        <v>80</v>
      </c>
      <c r="B46" s="29" t="s">
        <v>235</v>
      </c>
      <c r="C46" s="29" t="str">
        <f aca="false">"IPI"&amp;G46&amp;B46</f>
        <v>IPICreditorPartyRoleAccount</v>
      </c>
      <c r="D46" s="29" t="s">
        <v>681</v>
      </c>
      <c r="E46" s="32" t="str">
        <f aca="false">C45</f>
        <v>IPICreditorPartyIdentification</v>
      </c>
      <c r="G46" s="29" t="s">
        <v>682</v>
      </c>
    </row>
    <row r="47" customFormat="false" ht="35.05" hidden="false" customHeight="false" outlineLevel="0" collapsed="false">
      <c r="A47" s="29" t="s">
        <v>80</v>
      </c>
      <c r="B47" s="29" t="s">
        <v>218</v>
      </c>
      <c r="C47" s="29" t="str">
        <f aca="false">"IPI"&amp;G47&amp;B47</f>
        <v>IPICreditorPaymentPartyRole</v>
      </c>
      <c r="D47" s="29" t="s">
        <v>681</v>
      </c>
      <c r="E47" s="32" t="str">
        <f aca="false">C46&amp;", "&amp;C45&amp;", "&amp;$C$21</f>
        <v>IPICreditorPartyRoleAccount, IPICreditorPartyIdentification, InboundPaymentInstruction</v>
      </c>
      <c r="G47" s="29" t="s">
        <v>682</v>
      </c>
      <c r="H47" s="22" t="str">
        <f aca="false">"{ ""PaymentRole"" : """&amp;G47&amp;""" }"</f>
        <v>{ "PaymentRole" : "Creditor" }</v>
      </c>
    </row>
    <row r="48" customFormat="false" ht="12" hidden="false" customHeight="false" outlineLevel="0" collapsed="false">
      <c r="A48" s="29" t="s">
        <v>80</v>
      </c>
      <c r="B48" s="29" t="s">
        <v>73</v>
      </c>
      <c r="C48" s="29" t="str">
        <f aca="false">"IPI"&amp;G48&amp;B48</f>
        <v>IPIDebtorAgentPostalAddress</v>
      </c>
      <c r="D48" s="29" t="s">
        <v>683</v>
      </c>
      <c r="E48" s="32"/>
      <c r="G48" s="29" t="s">
        <v>684</v>
      </c>
    </row>
    <row r="49" customFormat="false" ht="12" hidden="false" customHeight="false" outlineLevel="0" collapsed="false">
      <c r="A49" s="29" t="s">
        <v>80</v>
      </c>
      <c r="B49" s="29" t="s">
        <v>128</v>
      </c>
      <c r="C49" s="29" t="str">
        <f aca="false">"IPI"&amp;G49&amp;B49</f>
        <v>IPIDebtorAgentPartyIdentification</v>
      </c>
      <c r="D49" s="29" t="s">
        <v>683</v>
      </c>
      <c r="E49" s="32" t="str">
        <f aca="false">C48</f>
        <v>IPIDebtorAgentPostalAddress</v>
      </c>
      <c r="G49" s="29" t="s">
        <v>684</v>
      </c>
    </row>
    <row r="50" customFormat="false" ht="12" hidden="false" customHeight="false" outlineLevel="0" collapsed="false">
      <c r="A50" s="29" t="s">
        <v>80</v>
      </c>
      <c r="B50" s="29" t="s">
        <v>235</v>
      </c>
      <c r="C50" s="29" t="str">
        <f aca="false">"IPI"&amp;G50&amp;B50</f>
        <v>IPIDebtorAgentPartyRoleAccount</v>
      </c>
      <c r="D50" s="29" t="s">
        <v>683</v>
      </c>
      <c r="E50" s="32" t="str">
        <f aca="false">C49</f>
        <v>IPIDebtorAgentPartyIdentification</v>
      </c>
      <c r="G50" s="29" t="s">
        <v>684</v>
      </c>
    </row>
    <row r="51" customFormat="false" ht="42.75" hidden="false" customHeight="true" outlineLevel="0" collapsed="false">
      <c r="A51" s="29" t="s">
        <v>80</v>
      </c>
      <c r="B51" s="29" t="s">
        <v>218</v>
      </c>
      <c r="C51" s="29" t="str">
        <f aca="false">"IPI"&amp;G51&amp;B51</f>
        <v>IPIDebtorAgentPaymentPartyRole</v>
      </c>
      <c r="D51" s="29" t="s">
        <v>683</v>
      </c>
      <c r="E51" s="32" t="str">
        <f aca="false">C50&amp;", "&amp;C49&amp;", "&amp;$C$21</f>
        <v>IPIDebtorAgentPartyRoleAccount, IPIDebtorAgentPartyIdentification, InboundPaymentInstruction</v>
      </c>
      <c r="G51" s="29" t="s">
        <v>684</v>
      </c>
      <c r="H51" s="22" t="str">
        <f aca="false">"{ ""PaymentRole"" : """&amp;G51&amp;""" }"</f>
        <v>{ "PaymentRole" : "DebtorAgent" }</v>
      </c>
    </row>
    <row r="52" customFormat="false" ht="12" hidden="false" customHeight="false" outlineLevel="0" collapsed="false">
      <c r="A52" s="29" t="s">
        <v>80</v>
      </c>
      <c r="B52" s="29" t="s">
        <v>73</v>
      </c>
      <c r="C52" s="29" t="str">
        <f aca="false">"IPI"&amp;G52&amp;B52</f>
        <v>IPICreditorAgentPostalAddress</v>
      </c>
      <c r="D52" s="29" t="s">
        <v>685</v>
      </c>
      <c r="E52" s="32"/>
      <c r="G52" s="29" t="s">
        <v>686</v>
      </c>
    </row>
    <row r="53" customFormat="false" ht="12" hidden="false" customHeight="false" outlineLevel="0" collapsed="false">
      <c r="A53" s="29" t="s">
        <v>80</v>
      </c>
      <c r="B53" s="29" t="s">
        <v>128</v>
      </c>
      <c r="C53" s="29" t="str">
        <f aca="false">"IPI"&amp;G53&amp;B53</f>
        <v>IPICreditorAgentPartyIdentification</v>
      </c>
      <c r="D53" s="29" t="s">
        <v>685</v>
      </c>
      <c r="E53" s="32" t="str">
        <f aca="false">C52</f>
        <v>IPICreditorAgentPostalAddress</v>
      </c>
      <c r="G53" s="29" t="s">
        <v>686</v>
      </c>
    </row>
    <row r="54" customFormat="false" ht="12" hidden="false" customHeight="false" outlineLevel="0" collapsed="false">
      <c r="A54" s="29" t="s">
        <v>80</v>
      </c>
      <c r="B54" s="29" t="s">
        <v>235</v>
      </c>
      <c r="C54" s="29" t="str">
        <f aca="false">"IPI"&amp;G54&amp;B54</f>
        <v>IPICreditorAgentPartyRoleAccount</v>
      </c>
      <c r="D54" s="29" t="s">
        <v>685</v>
      </c>
      <c r="E54" s="32" t="str">
        <f aca="false">C53</f>
        <v>IPICreditorAgentPartyIdentification</v>
      </c>
      <c r="G54" s="29" t="s">
        <v>686</v>
      </c>
    </row>
    <row r="55" customFormat="false" ht="35.05" hidden="false" customHeight="false" outlineLevel="0" collapsed="false">
      <c r="A55" s="29" t="s">
        <v>80</v>
      </c>
      <c r="B55" s="29" t="s">
        <v>218</v>
      </c>
      <c r="C55" s="29" t="str">
        <f aca="false">"IPI"&amp;G55&amp;B55</f>
        <v>IPICreditorAgentPaymentPartyRole</v>
      </c>
      <c r="D55" s="29" t="s">
        <v>685</v>
      </c>
      <c r="E55" s="32" t="str">
        <f aca="false">C54&amp;", "&amp;C53&amp;", "&amp;$C$21</f>
        <v>IPICreditorAgentPartyRoleAccount, IPICreditorAgentPartyIdentification, InboundPaymentInstruction</v>
      </c>
      <c r="G55" s="29" t="s">
        <v>686</v>
      </c>
      <c r="H55" s="22" t="str">
        <f aca="false">"{ ""PaymentRole"" : """&amp;G55&amp;""" }"</f>
        <v>{ "PaymentRole" : "CreditorAgent" }</v>
      </c>
    </row>
    <row r="56" customFormat="false" ht="12" hidden="false" customHeight="false" outlineLevel="0" collapsed="false">
      <c r="A56" s="29" t="s">
        <v>80</v>
      </c>
      <c r="B56" s="29" t="s">
        <v>73</v>
      </c>
      <c r="C56" s="29" t="str">
        <f aca="false">"IPI"&amp;G56&amp;B56</f>
        <v>IPIInitiatingPartyPostalAddress</v>
      </c>
      <c r="D56" s="29" t="s">
        <v>687</v>
      </c>
      <c r="E56" s="32"/>
      <c r="G56" s="29" t="s">
        <v>688</v>
      </c>
    </row>
    <row r="57" customFormat="false" ht="12" hidden="false" customHeight="false" outlineLevel="0" collapsed="false">
      <c r="A57" s="29" t="s">
        <v>80</v>
      </c>
      <c r="B57" s="29" t="s">
        <v>128</v>
      </c>
      <c r="C57" s="29" t="str">
        <f aca="false">"IPI"&amp;G57&amp;B57</f>
        <v>IPIInitiatingPartyPartyIdentification</v>
      </c>
      <c r="D57" s="29" t="s">
        <v>687</v>
      </c>
      <c r="E57" s="32" t="str">
        <f aca="false">C56</f>
        <v>IPIInitiatingPartyPostalAddress</v>
      </c>
      <c r="G57" s="29" t="s">
        <v>688</v>
      </c>
    </row>
    <row r="58" customFormat="false" ht="12" hidden="false" customHeight="false" outlineLevel="0" collapsed="false">
      <c r="A58" s="29" t="s">
        <v>80</v>
      </c>
      <c r="B58" s="29" t="s">
        <v>235</v>
      </c>
      <c r="C58" s="29" t="str">
        <f aca="false">"IPI"&amp;G58&amp;B58</f>
        <v>IPIInitiatingPartyPartyRoleAccount</v>
      </c>
      <c r="D58" s="29" t="s">
        <v>687</v>
      </c>
      <c r="E58" s="32" t="str">
        <f aca="false">C57</f>
        <v>IPIInitiatingPartyPartyIdentification</v>
      </c>
      <c r="G58" s="29" t="s">
        <v>688</v>
      </c>
    </row>
    <row r="59" customFormat="false" ht="35.05" hidden="false" customHeight="false" outlineLevel="0" collapsed="false">
      <c r="A59" s="29" t="s">
        <v>80</v>
      </c>
      <c r="B59" s="29" t="s">
        <v>218</v>
      </c>
      <c r="C59" s="29" t="str">
        <f aca="false">"IPI"&amp;G59&amp;B59</f>
        <v>IPIInitiatingPartyPaymentPartyRole</v>
      </c>
      <c r="D59" s="29" t="s">
        <v>687</v>
      </c>
      <c r="E59" s="32" t="str">
        <f aca="false">C58&amp;", "&amp;C57&amp;", "&amp;$C$21</f>
        <v>IPIInitiatingPartyPartyRoleAccount, IPIInitiatingPartyPartyIdentification, InboundPaymentInstruction</v>
      </c>
      <c r="G59" s="29" t="s">
        <v>688</v>
      </c>
      <c r="H59" s="22" t="str">
        <f aca="false">"{ ""PaymentRole"" : """&amp;G59&amp;""" }"</f>
        <v>{ "PaymentRole" : "InitiatingParty" }</v>
      </c>
    </row>
    <row r="60" customFormat="false" ht="12" hidden="false" customHeight="false" outlineLevel="0" collapsed="false">
      <c r="A60" s="29" t="s">
        <v>80</v>
      </c>
      <c r="B60" s="29" t="s">
        <v>73</v>
      </c>
      <c r="C60" s="29" t="str">
        <f aca="false">"IPI"&amp;G60&amp;B60</f>
        <v>IPIUltimateDebtorPostalAddress</v>
      </c>
      <c r="D60" s="29" t="s">
        <v>689</v>
      </c>
      <c r="E60" s="32"/>
      <c r="G60" s="29" t="s">
        <v>690</v>
      </c>
    </row>
    <row r="61" customFormat="false" ht="12" hidden="false" customHeight="false" outlineLevel="0" collapsed="false">
      <c r="A61" s="29" t="s">
        <v>80</v>
      </c>
      <c r="B61" s="29" t="s">
        <v>128</v>
      </c>
      <c r="C61" s="29" t="str">
        <f aca="false">"IPI"&amp;G61&amp;B61</f>
        <v>IPIUltimateDebtorPartyIdentification</v>
      </c>
      <c r="D61" s="29" t="s">
        <v>689</v>
      </c>
      <c r="E61" s="32" t="str">
        <f aca="false">C60</f>
        <v>IPIUltimateDebtorPostalAddress</v>
      </c>
      <c r="G61" s="29" t="s">
        <v>690</v>
      </c>
    </row>
    <row r="62" customFormat="false" ht="12" hidden="false" customHeight="false" outlineLevel="0" collapsed="false">
      <c r="A62" s="29" t="s">
        <v>80</v>
      </c>
      <c r="B62" s="29" t="s">
        <v>235</v>
      </c>
      <c r="C62" s="29" t="str">
        <f aca="false">"IPI"&amp;G62&amp;B62</f>
        <v>IPIUltimateDebtorPartyRoleAccount</v>
      </c>
      <c r="D62" s="29" t="s">
        <v>689</v>
      </c>
      <c r="E62" s="32" t="str">
        <f aca="false">C61</f>
        <v>IPIUltimateDebtorPartyIdentification</v>
      </c>
      <c r="G62" s="29" t="s">
        <v>690</v>
      </c>
    </row>
    <row r="63" customFormat="false" ht="35.05" hidden="false" customHeight="false" outlineLevel="0" collapsed="false">
      <c r="A63" s="29" t="s">
        <v>80</v>
      </c>
      <c r="B63" s="29" t="s">
        <v>218</v>
      </c>
      <c r="C63" s="29" t="str">
        <f aca="false">"IPI"&amp;G63&amp;B63</f>
        <v>IPIUltimateDebtorPaymentPartyRole</v>
      </c>
      <c r="D63" s="29" t="s">
        <v>689</v>
      </c>
      <c r="E63" s="32" t="str">
        <f aca="false">C62&amp;", "&amp;C61&amp;", "&amp;$C$21</f>
        <v>IPIUltimateDebtorPartyRoleAccount, IPIUltimateDebtorPartyIdentification, InboundPaymentInstruction</v>
      </c>
      <c r="G63" s="29" t="s">
        <v>690</v>
      </c>
      <c r="H63" s="22" t="str">
        <f aca="false">"{ ""PaymentRole"" : """&amp;G63&amp;""" }"</f>
        <v>{ "PaymentRole" : "UltimateDebtor" }</v>
      </c>
    </row>
    <row r="64" customFormat="false" ht="12" hidden="false" customHeight="false" outlineLevel="0" collapsed="false">
      <c r="A64" s="29" t="s">
        <v>80</v>
      </c>
      <c r="B64" s="29" t="s">
        <v>73</v>
      </c>
      <c r="C64" s="29" t="str">
        <f aca="false">"IPI"&amp;G64&amp;B64</f>
        <v>IPIUltimateCreditorPostalAddress</v>
      </c>
      <c r="D64" s="29" t="s">
        <v>691</v>
      </c>
      <c r="E64" s="32"/>
      <c r="G64" s="29" t="s">
        <v>692</v>
      </c>
    </row>
    <row r="65" customFormat="false" ht="12" hidden="false" customHeight="false" outlineLevel="0" collapsed="false">
      <c r="A65" s="29" t="s">
        <v>80</v>
      </c>
      <c r="B65" s="29" t="s">
        <v>128</v>
      </c>
      <c r="C65" s="29" t="str">
        <f aca="false">"IPI"&amp;G65&amp;B65</f>
        <v>IPIUltimateCreditorPartyIdentification</v>
      </c>
      <c r="D65" s="29" t="s">
        <v>691</v>
      </c>
      <c r="E65" s="32" t="str">
        <f aca="false">C64</f>
        <v>IPIUltimateCreditorPostalAddress</v>
      </c>
      <c r="G65" s="29" t="s">
        <v>692</v>
      </c>
    </row>
    <row r="66" customFormat="false" ht="12" hidden="false" customHeight="false" outlineLevel="0" collapsed="false">
      <c r="A66" s="29" t="s">
        <v>80</v>
      </c>
      <c r="B66" s="29" t="s">
        <v>235</v>
      </c>
      <c r="C66" s="29" t="str">
        <f aca="false">"IPI"&amp;G66&amp;B66</f>
        <v>IPIUltimateCreditorPartyRoleAccount</v>
      </c>
      <c r="D66" s="29" t="s">
        <v>691</v>
      </c>
      <c r="E66" s="32" t="str">
        <f aca="false">C65</f>
        <v>IPIUltimateCreditorPartyIdentification</v>
      </c>
      <c r="G66" s="29" t="s">
        <v>692</v>
      </c>
    </row>
    <row r="67" customFormat="false" ht="35.05" hidden="false" customHeight="false" outlineLevel="0" collapsed="false">
      <c r="A67" s="29" t="s">
        <v>80</v>
      </c>
      <c r="B67" s="29" t="s">
        <v>218</v>
      </c>
      <c r="C67" s="29" t="str">
        <f aca="false">"IPI"&amp;G67&amp;B67</f>
        <v>IPIUltimateCreditorPaymentPartyRole</v>
      </c>
      <c r="D67" s="29" t="s">
        <v>691</v>
      </c>
      <c r="E67" s="32" t="str">
        <f aca="false">C66&amp;", "&amp;C65&amp;", "&amp;$C$21</f>
        <v>IPIUltimateCreditorPartyRoleAccount, IPIUltimateCreditorPartyIdentification, InboundPaymentInstruction</v>
      </c>
      <c r="G67" s="29" t="s">
        <v>692</v>
      </c>
      <c r="H67" s="22" t="str">
        <f aca="false">"{ ""PaymentRole"" : """&amp;G67&amp;""" }"</f>
        <v>{ "PaymentRole" : "UltimateCreditor" }</v>
      </c>
    </row>
    <row r="68" customFormat="false" ht="12" hidden="false" customHeight="false" outlineLevel="0" collapsed="false">
      <c r="A68" s="29" t="s">
        <v>80</v>
      </c>
      <c r="B68" s="29" t="s">
        <v>73</v>
      </c>
      <c r="C68" s="29" t="str">
        <f aca="false">"IPI"&amp;G68&amp;B68</f>
        <v>IPIIntermediaryAgent1PostalAddress</v>
      </c>
      <c r="D68" s="29" t="s">
        <v>693</v>
      </c>
      <c r="E68" s="32"/>
      <c r="G68" s="29" t="s">
        <v>694</v>
      </c>
    </row>
    <row r="69" customFormat="false" ht="12" hidden="false" customHeight="false" outlineLevel="0" collapsed="false">
      <c r="A69" s="29" t="s">
        <v>80</v>
      </c>
      <c r="B69" s="29" t="s">
        <v>128</v>
      </c>
      <c r="C69" s="29" t="str">
        <f aca="false">"IPI"&amp;G69&amp;B69</f>
        <v>IPIIntermediaryAgent1PartyIdentification</v>
      </c>
      <c r="D69" s="29" t="s">
        <v>693</v>
      </c>
      <c r="E69" s="32" t="str">
        <f aca="false">C68</f>
        <v>IPIIntermediaryAgent1PostalAddress</v>
      </c>
      <c r="G69" s="29" t="s">
        <v>694</v>
      </c>
    </row>
    <row r="70" customFormat="false" ht="12" hidden="false" customHeight="false" outlineLevel="0" collapsed="false">
      <c r="A70" s="29" t="s">
        <v>80</v>
      </c>
      <c r="B70" s="29" t="s">
        <v>235</v>
      </c>
      <c r="C70" s="29" t="str">
        <f aca="false">"IPI"&amp;G70&amp;B70</f>
        <v>IPIIntermediaryAgent1PartyRoleAccount</v>
      </c>
      <c r="D70" s="29" t="s">
        <v>693</v>
      </c>
      <c r="E70" s="32" t="str">
        <f aca="false">C69</f>
        <v>IPIIntermediaryAgent1PartyIdentification</v>
      </c>
      <c r="G70" s="29" t="s">
        <v>694</v>
      </c>
    </row>
    <row r="71" customFormat="false" ht="35.05" hidden="false" customHeight="false" outlineLevel="0" collapsed="false">
      <c r="A71" s="29" t="s">
        <v>80</v>
      </c>
      <c r="B71" s="29" t="s">
        <v>218</v>
      </c>
      <c r="C71" s="29" t="str">
        <f aca="false">"IPI"&amp;G71&amp;B71</f>
        <v>IPIIntermediaryAgent1PaymentPartyRole</v>
      </c>
      <c r="D71" s="29" t="s">
        <v>693</v>
      </c>
      <c r="E71" s="32" t="str">
        <f aca="false">C70&amp;", "&amp;C69&amp;", "&amp;$C$21</f>
        <v>IPIIntermediaryAgent1PartyRoleAccount, IPIIntermediaryAgent1PartyIdentification, InboundPaymentInstruction</v>
      </c>
      <c r="G71" s="29" t="s">
        <v>694</v>
      </c>
      <c r="H71" s="22" t="str">
        <f aca="false">"{ ""PaymentRole"" : """&amp;G71&amp;""" }"</f>
        <v>{ "PaymentRole" : "IntermediaryAgent1" }</v>
      </c>
    </row>
    <row r="72" customFormat="false" ht="12" hidden="false" customHeight="false" outlineLevel="0" collapsed="false">
      <c r="A72" s="29" t="s">
        <v>80</v>
      </c>
      <c r="B72" s="29" t="s">
        <v>73</v>
      </c>
      <c r="C72" s="29" t="str">
        <f aca="false">"IPI"&amp;G72&amp;B72</f>
        <v>IPIIntermediaryAgent2PostalAddress</v>
      </c>
      <c r="D72" s="29" t="s">
        <v>695</v>
      </c>
      <c r="E72" s="32"/>
      <c r="G72" s="29" t="s">
        <v>696</v>
      </c>
    </row>
    <row r="73" customFormat="false" ht="12" hidden="false" customHeight="false" outlineLevel="0" collapsed="false">
      <c r="A73" s="29" t="s">
        <v>80</v>
      </c>
      <c r="B73" s="29" t="s">
        <v>128</v>
      </c>
      <c r="C73" s="29" t="str">
        <f aca="false">"IPI"&amp;G73&amp;B73</f>
        <v>IPIIntermediaryAgent2PartyIdentification</v>
      </c>
      <c r="D73" s="29" t="s">
        <v>695</v>
      </c>
      <c r="E73" s="32" t="str">
        <f aca="false">C72</f>
        <v>IPIIntermediaryAgent2PostalAddress</v>
      </c>
      <c r="G73" s="29" t="s">
        <v>696</v>
      </c>
    </row>
    <row r="74" customFormat="false" ht="12" hidden="false" customHeight="false" outlineLevel="0" collapsed="false">
      <c r="A74" s="29" t="s">
        <v>80</v>
      </c>
      <c r="B74" s="29" t="s">
        <v>235</v>
      </c>
      <c r="C74" s="29" t="str">
        <f aca="false">"IPI"&amp;G74&amp;B74</f>
        <v>IPIIntermediaryAgent2PartyRoleAccount</v>
      </c>
      <c r="D74" s="29" t="s">
        <v>695</v>
      </c>
      <c r="E74" s="32" t="str">
        <f aca="false">C73</f>
        <v>IPIIntermediaryAgent2PartyIdentification</v>
      </c>
      <c r="G74" s="29" t="s">
        <v>696</v>
      </c>
    </row>
    <row r="75" customFormat="false" ht="35.05" hidden="false" customHeight="false" outlineLevel="0" collapsed="false">
      <c r="A75" s="29" t="s">
        <v>80</v>
      </c>
      <c r="B75" s="29" t="s">
        <v>218</v>
      </c>
      <c r="C75" s="29" t="str">
        <f aca="false">"IPI"&amp;G75&amp;B75</f>
        <v>IPIIntermediaryAgent2PaymentPartyRole</v>
      </c>
      <c r="D75" s="29" t="s">
        <v>695</v>
      </c>
      <c r="E75" s="32" t="str">
        <f aca="false">C74&amp;", "&amp;C73&amp;", "&amp;$C$21</f>
        <v>IPIIntermediaryAgent2PartyRoleAccount, IPIIntermediaryAgent2PartyIdentification, InboundPaymentInstruction</v>
      </c>
      <c r="G75" s="29" t="s">
        <v>696</v>
      </c>
      <c r="H75" s="22" t="str">
        <f aca="false">"{ ""PaymentRole"" : """&amp;G75&amp;""" }"</f>
        <v>{ "PaymentRole" : "IntermediaryAgent2" }</v>
      </c>
    </row>
    <row r="76" customFormat="false" ht="12" hidden="false" customHeight="false" outlineLevel="0" collapsed="false">
      <c r="A76" s="29" t="s">
        <v>80</v>
      </c>
      <c r="B76" s="29" t="s">
        <v>73</v>
      </c>
      <c r="C76" s="29" t="str">
        <f aca="false">"IPI"&amp;G76&amp;B76</f>
        <v>IPIIntermediaryAgent3PostalAddress</v>
      </c>
      <c r="D76" s="29" t="s">
        <v>697</v>
      </c>
      <c r="E76" s="32"/>
      <c r="G76" s="29" t="s">
        <v>698</v>
      </c>
    </row>
    <row r="77" customFormat="false" ht="12" hidden="false" customHeight="false" outlineLevel="0" collapsed="false">
      <c r="A77" s="29" t="s">
        <v>80</v>
      </c>
      <c r="B77" s="29" t="s">
        <v>128</v>
      </c>
      <c r="C77" s="29" t="str">
        <f aca="false">"IPI"&amp;G77&amp;B77</f>
        <v>IPIIntermediaryAgent3PartyIdentification</v>
      </c>
      <c r="D77" s="29" t="s">
        <v>697</v>
      </c>
      <c r="E77" s="32" t="str">
        <f aca="false">C76</f>
        <v>IPIIntermediaryAgent3PostalAddress</v>
      </c>
      <c r="G77" s="29" t="s">
        <v>698</v>
      </c>
    </row>
    <row r="78" customFormat="false" ht="12" hidden="false" customHeight="false" outlineLevel="0" collapsed="false">
      <c r="A78" s="29" t="s">
        <v>80</v>
      </c>
      <c r="B78" s="29" t="s">
        <v>235</v>
      </c>
      <c r="C78" s="29" t="str">
        <f aca="false">"IPI"&amp;G78&amp;B78</f>
        <v>IPIIntermediaryAgent3PartyRoleAccount</v>
      </c>
      <c r="D78" s="29" t="s">
        <v>697</v>
      </c>
      <c r="E78" s="32" t="str">
        <f aca="false">C77</f>
        <v>IPIIntermediaryAgent3PartyIdentification</v>
      </c>
      <c r="G78" s="29" t="s">
        <v>698</v>
      </c>
    </row>
    <row r="79" customFormat="false" ht="35.05" hidden="false" customHeight="false" outlineLevel="0" collapsed="false">
      <c r="A79" s="29" t="s">
        <v>80</v>
      </c>
      <c r="B79" s="29" t="s">
        <v>218</v>
      </c>
      <c r="C79" s="29" t="str">
        <f aca="false">"IPI"&amp;G79&amp;B79</f>
        <v>IPIIntermediaryAgent3PaymentPartyRole</v>
      </c>
      <c r="D79" s="29" t="s">
        <v>697</v>
      </c>
      <c r="E79" s="32" t="str">
        <f aca="false">C78&amp;", "&amp;C77&amp;", "&amp;$C$21</f>
        <v>IPIIntermediaryAgent3PartyRoleAccount, IPIIntermediaryAgent3PartyIdentification, InboundPaymentInstruction</v>
      </c>
      <c r="G79" s="29" t="s">
        <v>698</v>
      </c>
      <c r="H79" s="22" t="str">
        <f aca="false">"{ ""PaymentRole"" : """&amp;G79&amp;""" }"</f>
        <v>{ "PaymentRole" : "IntermediaryAgent3" }</v>
      </c>
    </row>
    <row r="80" customFormat="false" ht="12" hidden="false" customHeight="false" outlineLevel="0" collapsed="false">
      <c r="A80" s="29" t="s">
        <v>80</v>
      </c>
      <c r="B80" s="29" t="s">
        <v>73</v>
      </c>
      <c r="C80" s="29" t="str">
        <f aca="false">"IPI"&amp;G80&amp;B80</f>
        <v>IPIInstructedAgentPostalAddress</v>
      </c>
      <c r="D80" s="29" t="s">
        <v>699</v>
      </c>
      <c r="E80" s="32"/>
      <c r="G80" s="29" t="s">
        <v>700</v>
      </c>
    </row>
    <row r="81" customFormat="false" ht="12" hidden="false" customHeight="false" outlineLevel="0" collapsed="false">
      <c r="A81" s="29" t="s">
        <v>80</v>
      </c>
      <c r="B81" s="29" t="s">
        <v>128</v>
      </c>
      <c r="C81" s="29" t="str">
        <f aca="false">"IPI"&amp;G81&amp;B81</f>
        <v>IPIInstructedAgentPartyIdentification</v>
      </c>
      <c r="D81" s="29" t="s">
        <v>699</v>
      </c>
      <c r="E81" s="32" t="str">
        <f aca="false">C80</f>
        <v>IPIInstructedAgentPostalAddress</v>
      </c>
      <c r="G81" s="29" t="s">
        <v>700</v>
      </c>
    </row>
    <row r="82" customFormat="false" ht="12" hidden="false" customHeight="false" outlineLevel="0" collapsed="false">
      <c r="A82" s="29" t="s">
        <v>80</v>
      </c>
      <c r="B82" s="29" t="s">
        <v>235</v>
      </c>
      <c r="C82" s="29" t="str">
        <f aca="false">"IPI"&amp;G82&amp;B82</f>
        <v>IPIInstructedAgentPartyRoleAccount</v>
      </c>
      <c r="D82" s="29" t="s">
        <v>699</v>
      </c>
      <c r="E82" s="32" t="str">
        <f aca="false">C81</f>
        <v>IPIInstructedAgentPartyIdentification</v>
      </c>
      <c r="G82" s="29" t="s">
        <v>700</v>
      </c>
    </row>
    <row r="83" customFormat="false" ht="35.05" hidden="false" customHeight="false" outlineLevel="0" collapsed="false">
      <c r="A83" s="29" t="s">
        <v>80</v>
      </c>
      <c r="B83" s="29" t="s">
        <v>218</v>
      </c>
      <c r="C83" s="29" t="str">
        <f aca="false">"IPI"&amp;G83&amp;B83</f>
        <v>IPIInstructedAgentPaymentPartyRole</v>
      </c>
      <c r="D83" s="29" t="s">
        <v>699</v>
      </c>
      <c r="E83" s="32" t="str">
        <f aca="false">C82&amp;", "&amp;C81&amp;", "&amp;$C$21</f>
        <v>IPIInstructedAgentPartyRoleAccount, IPIInstructedAgentPartyIdentification, InboundPaymentInstruction</v>
      </c>
      <c r="G83" s="29" t="s">
        <v>700</v>
      </c>
      <c r="H83" s="22" t="str">
        <f aca="false">"{ ""PaymentRole"" : """&amp;G83&amp;""" }"</f>
        <v>{ "PaymentRole" : "InstructedAgent" }</v>
      </c>
    </row>
    <row r="84" customFormat="false" ht="12" hidden="false" customHeight="false" outlineLevel="0" collapsed="false">
      <c r="A84" s="29" t="s">
        <v>80</v>
      </c>
      <c r="B84" s="29" t="s">
        <v>73</v>
      </c>
      <c r="C84" s="29" t="str">
        <f aca="false">"IPI"&amp;G84&amp;B84</f>
        <v>IPIInstructingAgentPostalAddress</v>
      </c>
      <c r="D84" s="29" t="s">
        <v>701</v>
      </c>
      <c r="E84" s="32"/>
      <c r="G84" s="29" t="s">
        <v>702</v>
      </c>
    </row>
    <row r="85" customFormat="false" ht="12" hidden="false" customHeight="false" outlineLevel="0" collapsed="false">
      <c r="A85" s="29" t="s">
        <v>80</v>
      </c>
      <c r="B85" s="29" t="s">
        <v>128</v>
      </c>
      <c r="C85" s="29" t="str">
        <f aca="false">"IPI"&amp;G85&amp;B85</f>
        <v>IPIInstructingAgentPartyIdentification</v>
      </c>
      <c r="D85" s="29" t="s">
        <v>701</v>
      </c>
      <c r="E85" s="32" t="str">
        <f aca="false">C84</f>
        <v>IPIInstructingAgentPostalAddress</v>
      </c>
      <c r="G85" s="29" t="s">
        <v>702</v>
      </c>
    </row>
    <row r="86" customFormat="false" ht="12" hidden="false" customHeight="false" outlineLevel="0" collapsed="false">
      <c r="A86" s="29" t="s">
        <v>80</v>
      </c>
      <c r="B86" s="29" t="s">
        <v>235</v>
      </c>
      <c r="C86" s="29" t="str">
        <f aca="false">"IPI"&amp;G86&amp;B86</f>
        <v>IPIInstructingAgentPartyRoleAccount</v>
      </c>
      <c r="D86" s="29" t="s">
        <v>701</v>
      </c>
      <c r="E86" s="32" t="str">
        <f aca="false">C85</f>
        <v>IPIInstructingAgentPartyIdentification</v>
      </c>
      <c r="G86" s="29" t="s">
        <v>702</v>
      </c>
    </row>
    <row r="87" customFormat="false" ht="35.05" hidden="false" customHeight="false" outlineLevel="0" collapsed="false">
      <c r="A87" s="29" t="s">
        <v>80</v>
      </c>
      <c r="B87" s="29" t="s">
        <v>218</v>
      </c>
      <c r="C87" s="29" t="str">
        <f aca="false">"IPI"&amp;G87&amp;B87</f>
        <v>IPIInstructingAgentPaymentPartyRole</v>
      </c>
      <c r="D87" s="29" t="s">
        <v>701</v>
      </c>
      <c r="E87" s="32" t="str">
        <f aca="false">C86&amp;", "&amp;C85&amp;", "&amp;$C$21</f>
        <v>IPIInstructingAgentPartyRoleAccount, IPIInstructingAgentPartyIdentification, InboundPaymentInstruction</v>
      </c>
      <c r="G87" s="29" t="s">
        <v>702</v>
      </c>
      <c r="H87" s="22" t="str">
        <f aca="false">"{ ""PaymentRole"" : """&amp;G87&amp;""" }"</f>
        <v>{ "PaymentRole" : "InstructingAgent" }</v>
      </c>
    </row>
    <row r="88" customFormat="false" ht="12" hidden="false" customHeight="false" outlineLevel="0" collapsed="false">
      <c r="A88" s="29" t="s">
        <v>80</v>
      </c>
      <c r="B88" s="29" t="s">
        <v>73</v>
      </c>
      <c r="C88" s="29" t="str">
        <f aca="false">"IPI"&amp;G88&amp;B88</f>
        <v>IPIPreviousInstructingAgent1PostalAddress</v>
      </c>
      <c r="D88" s="29" t="s">
        <v>703</v>
      </c>
      <c r="E88" s="32"/>
      <c r="G88" s="29" t="s">
        <v>704</v>
      </c>
    </row>
    <row r="89" customFormat="false" ht="12" hidden="false" customHeight="false" outlineLevel="0" collapsed="false">
      <c r="A89" s="29" t="s">
        <v>80</v>
      </c>
      <c r="B89" s="29" t="s">
        <v>128</v>
      </c>
      <c r="C89" s="29" t="str">
        <f aca="false">"IPI"&amp;G89&amp;B89</f>
        <v>IPIPreviousInstructingAgent1PartyIdentification</v>
      </c>
      <c r="D89" s="29" t="s">
        <v>703</v>
      </c>
      <c r="E89" s="32" t="str">
        <f aca="false">C88</f>
        <v>IPIPreviousInstructingAgent1PostalAddress</v>
      </c>
      <c r="G89" s="29" t="s">
        <v>704</v>
      </c>
    </row>
    <row r="90" customFormat="false" ht="12" hidden="false" customHeight="false" outlineLevel="0" collapsed="false">
      <c r="A90" s="29" t="s">
        <v>80</v>
      </c>
      <c r="B90" s="29" t="s">
        <v>235</v>
      </c>
      <c r="C90" s="29" t="str">
        <f aca="false">"IPI"&amp;G90&amp;B90</f>
        <v>IPIPreviousInstructingAgent1PartyRoleAccount</v>
      </c>
      <c r="D90" s="29" t="s">
        <v>703</v>
      </c>
      <c r="E90" s="32" t="str">
        <f aca="false">C89</f>
        <v>IPIPreviousInstructingAgent1PartyIdentification</v>
      </c>
      <c r="G90" s="29" t="s">
        <v>704</v>
      </c>
    </row>
    <row r="91" customFormat="false" ht="35.05" hidden="false" customHeight="false" outlineLevel="0" collapsed="false">
      <c r="A91" s="29" t="s">
        <v>80</v>
      </c>
      <c r="B91" s="29" t="s">
        <v>218</v>
      </c>
      <c r="C91" s="29" t="str">
        <f aca="false">"IPI"&amp;G91&amp;B91</f>
        <v>IPIPreviousInstructingAgent1PaymentPartyRole</v>
      </c>
      <c r="D91" s="29" t="s">
        <v>703</v>
      </c>
      <c r="E91" s="32" t="str">
        <f aca="false">C90&amp;", "&amp;C89&amp;", "&amp;$C$21</f>
        <v>IPIPreviousInstructingAgent1PartyRoleAccount, IPIPreviousInstructingAgent1PartyIdentification, InboundPaymentInstruction</v>
      </c>
      <c r="G91" s="29" t="s">
        <v>704</v>
      </c>
      <c r="H91" s="22" t="str">
        <f aca="false">"{ ""PaymentRole"" : """&amp;G91&amp;""" }"</f>
        <v>{ "PaymentRole" : "PreviousInstructingAgent1" }</v>
      </c>
    </row>
    <row r="92" customFormat="false" ht="12" hidden="false" customHeight="false" outlineLevel="0" collapsed="false">
      <c r="A92" s="29" t="s">
        <v>80</v>
      </c>
      <c r="B92" s="29" t="s">
        <v>73</v>
      </c>
      <c r="C92" s="29" t="str">
        <f aca="false">"IPI"&amp;G92&amp;B92</f>
        <v>IPIPreviousInstructingAgent2PostalAddress</v>
      </c>
      <c r="D92" s="29" t="s">
        <v>705</v>
      </c>
      <c r="E92" s="32"/>
      <c r="G92" s="29" t="s">
        <v>706</v>
      </c>
    </row>
    <row r="93" customFormat="false" ht="12" hidden="false" customHeight="false" outlineLevel="0" collapsed="false">
      <c r="A93" s="29" t="s">
        <v>80</v>
      </c>
      <c r="B93" s="29" t="s">
        <v>128</v>
      </c>
      <c r="C93" s="29" t="str">
        <f aca="false">"IPI"&amp;G93&amp;B93</f>
        <v>IPIPreviousInstructingAgent2PartyIdentification</v>
      </c>
      <c r="D93" s="29" t="s">
        <v>705</v>
      </c>
      <c r="E93" s="32" t="str">
        <f aca="false">C92</f>
        <v>IPIPreviousInstructingAgent2PostalAddress</v>
      </c>
      <c r="G93" s="29" t="s">
        <v>706</v>
      </c>
    </row>
    <row r="94" customFormat="false" ht="12" hidden="false" customHeight="false" outlineLevel="0" collapsed="false">
      <c r="A94" s="29" t="s">
        <v>80</v>
      </c>
      <c r="B94" s="29" t="s">
        <v>235</v>
      </c>
      <c r="C94" s="29" t="str">
        <f aca="false">"IPI"&amp;G94&amp;B94</f>
        <v>IPIPreviousInstructingAgent2PartyRoleAccount</v>
      </c>
      <c r="D94" s="29" t="s">
        <v>705</v>
      </c>
      <c r="E94" s="32" t="str">
        <f aca="false">C93</f>
        <v>IPIPreviousInstructingAgent2PartyIdentification</v>
      </c>
      <c r="G94" s="29" t="s">
        <v>706</v>
      </c>
    </row>
    <row r="95" customFormat="false" ht="35.05" hidden="false" customHeight="false" outlineLevel="0" collapsed="false">
      <c r="A95" s="29" t="s">
        <v>80</v>
      </c>
      <c r="B95" s="29" t="s">
        <v>218</v>
      </c>
      <c r="C95" s="29" t="str">
        <f aca="false">"IPI"&amp;G95&amp;B95</f>
        <v>IPIPreviousInstructingAgent2PaymentPartyRole</v>
      </c>
      <c r="D95" s="29" t="s">
        <v>705</v>
      </c>
      <c r="E95" s="32" t="str">
        <f aca="false">C94&amp;", "&amp;C93&amp;", "&amp;$C$21</f>
        <v>IPIPreviousInstructingAgent2PartyRoleAccount, IPIPreviousInstructingAgent2PartyIdentification, InboundPaymentInstruction</v>
      </c>
      <c r="G95" s="29" t="s">
        <v>706</v>
      </c>
      <c r="H95" s="22" t="str">
        <f aca="false">"{ ""PaymentRole"" : """&amp;G95&amp;""" }"</f>
        <v>{ "PaymentRole" : "PreviousInstructingAgent2" }</v>
      </c>
    </row>
    <row r="96" customFormat="false" ht="12" hidden="false" customHeight="false" outlineLevel="0" collapsed="false">
      <c r="A96" s="29" t="s">
        <v>80</v>
      </c>
      <c r="B96" s="29" t="s">
        <v>73</v>
      </c>
      <c r="C96" s="29" t="str">
        <f aca="false">"IPI"&amp;G96&amp;B96</f>
        <v>IPIPreviousInstructingAgent3PostalAddress</v>
      </c>
      <c r="D96" s="29" t="s">
        <v>707</v>
      </c>
      <c r="E96" s="32"/>
      <c r="G96" s="29" t="s">
        <v>708</v>
      </c>
    </row>
    <row r="97" customFormat="false" ht="12" hidden="false" customHeight="false" outlineLevel="0" collapsed="false">
      <c r="A97" s="29" t="s">
        <v>80</v>
      </c>
      <c r="B97" s="29" t="s">
        <v>128</v>
      </c>
      <c r="C97" s="29" t="str">
        <f aca="false">"IPI"&amp;G97&amp;B97</f>
        <v>IPIPreviousInstructingAgent3PartyIdentification</v>
      </c>
      <c r="D97" s="29" t="s">
        <v>707</v>
      </c>
      <c r="E97" s="32" t="str">
        <f aca="false">C96</f>
        <v>IPIPreviousInstructingAgent3PostalAddress</v>
      </c>
      <c r="G97" s="29" t="s">
        <v>708</v>
      </c>
    </row>
    <row r="98" customFormat="false" ht="12" hidden="false" customHeight="false" outlineLevel="0" collapsed="false">
      <c r="A98" s="29" t="s">
        <v>80</v>
      </c>
      <c r="B98" s="29" t="s">
        <v>235</v>
      </c>
      <c r="C98" s="29" t="str">
        <f aca="false">"IPI"&amp;G98&amp;B98</f>
        <v>IPIPreviousInstructingAgent3PartyRoleAccount</v>
      </c>
      <c r="D98" s="29" t="s">
        <v>707</v>
      </c>
      <c r="E98" s="32" t="str">
        <f aca="false">C97</f>
        <v>IPIPreviousInstructingAgent3PartyIdentification</v>
      </c>
      <c r="G98" s="29" t="s">
        <v>708</v>
      </c>
    </row>
    <row r="99" customFormat="false" ht="35.05" hidden="false" customHeight="false" outlineLevel="0" collapsed="false">
      <c r="A99" s="29" t="s">
        <v>80</v>
      </c>
      <c r="B99" s="29" t="s">
        <v>218</v>
      </c>
      <c r="C99" s="29" t="str">
        <f aca="false">"IPI"&amp;G99&amp;B99</f>
        <v>IPIPreviousInstructingAgent3PaymentPartyRole</v>
      </c>
      <c r="D99" s="29" t="s">
        <v>707</v>
      </c>
      <c r="E99" s="32" t="str">
        <f aca="false">C98&amp;", "&amp;C97&amp;", "&amp;$C$21</f>
        <v>IPIPreviousInstructingAgent3PartyRoleAccount, IPIPreviousInstructingAgent3PartyIdentification, InboundPaymentInstruction</v>
      </c>
      <c r="G99" s="29" t="s">
        <v>708</v>
      </c>
      <c r="H99" s="22" t="str">
        <f aca="false">"{ ""PaymentRole"" : """&amp;G99&amp;""" }"</f>
        <v>{ "PaymentRole" : "PreviousInstructingAgent3" }</v>
      </c>
    </row>
    <row r="100" customFormat="false" ht="12" hidden="false" customHeight="false" outlineLevel="0" collapsed="false">
      <c r="A100" s="29" t="s">
        <v>80</v>
      </c>
      <c r="B100" s="29" t="s">
        <v>73</v>
      </c>
      <c r="C100" s="29" t="str">
        <f aca="false">"IPI"&amp;G100&amp;B100</f>
        <v>IPIInstructingReimbursementAgentPostalAddress</v>
      </c>
      <c r="D100" s="29" t="s">
        <v>709</v>
      </c>
      <c r="E100" s="32"/>
      <c r="G100" s="29" t="s">
        <v>710</v>
      </c>
    </row>
    <row r="101" customFormat="false" ht="12" hidden="false" customHeight="false" outlineLevel="0" collapsed="false">
      <c r="A101" s="29" t="s">
        <v>80</v>
      </c>
      <c r="B101" s="29" t="s">
        <v>128</v>
      </c>
      <c r="C101" s="29" t="str">
        <f aca="false">"IPI"&amp;G101&amp;B101</f>
        <v>IPIInstructingReimbursementAgentPartyIdentification</v>
      </c>
      <c r="D101" s="29" t="s">
        <v>709</v>
      </c>
      <c r="E101" s="32" t="str">
        <f aca="false">C100</f>
        <v>IPIInstructingReimbursementAgentPostalAddress</v>
      </c>
      <c r="G101" s="29" t="s">
        <v>710</v>
      </c>
    </row>
    <row r="102" customFormat="false" ht="12" hidden="false" customHeight="false" outlineLevel="0" collapsed="false">
      <c r="A102" s="29" t="s">
        <v>80</v>
      </c>
      <c r="B102" s="29" t="s">
        <v>235</v>
      </c>
      <c r="C102" s="29" t="str">
        <f aca="false">"IPI"&amp;G102&amp;B102</f>
        <v>IPIInstructingReimbursementAgentPartyRoleAccount</v>
      </c>
      <c r="D102" s="29" t="s">
        <v>709</v>
      </c>
      <c r="E102" s="32" t="str">
        <f aca="false">C101</f>
        <v>IPIInstructingReimbursementAgentPartyIdentification</v>
      </c>
      <c r="G102" s="29" t="s">
        <v>710</v>
      </c>
    </row>
    <row r="103" customFormat="false" ht="35.05" hidden="false" customHeight="false" outlineLevel="0" collapsed="false">
      <c r="A103" s="29" t="s">
        <v>80</v>
      </c>
      <c r="B103" s="29" t="s">
        <v>218</v>
      </c>
      <c r="C103" s="29" t="str">
        <f aca="false">"IPI"&amp;G103&amp;B103</f>
        <v>IPIInstructingReimbursementAgentPaymentPartyRole</v>
      </c>
      <c r="D103" s="29" t="s">
        <v>709</v>
      </c>
      <c r="E103" s="32" t="str">
        <f aca="false">C102&amp;", "&amp;C101&amp;", "&amp;$C$21</f>
        <v>IPIInstructingReimbursementAgentPartyRoleAccount, IPIInstructingReimbursementAgentPartyIdentification, InboundPaymentInstruction</v>
      </c>
      <c r="G103" s="29" t="s">
        <v>710</v>
      </c>
      <c r="H103" s="22" t="str">
        <f aca="false">"{ ""PaymentRole"" : """&amp;G103&amp;""" }"</f>
        <v>{ "PaymentRole" : "InstructingReimbursementAgent" }</v>
      </c>
    </row>
    <row r="104" customFormat="false" ht="12" hidden="false" customHeight="false" outlineLevel="0" collapsed="false">
      <c r="A104" s="29" t="s">
        <v>80</v>
      </c>
      <c r="B104" s="29" t="s">
        <v>73</v>
      </c>
      <c r="C104" s="29" t="str">
        <f aca="false">"IPI"&amp;G104&amp;B104</f>
        <v>IPIInstructedReimbursementAgentPostalAddress</v>
      </c>
      <c r="D104" s="29" t="s">
        <v>711</v>
      </c>
      <c r="E104" s="32"/>
      <c r="G104" s="29" t="s">
        <v>712</v>
      </c>
    </row>
    <row r="105" customFormat="false" ht="12" hidden="false" customHeight="false" outlineLevel="0" collapsed="false">
      <c r="A105" s="29" t="s">
        <v>80</v>
      </c>
      <c r="B105" s="29" t="s">
        <v>128</v>
      </c>
      <c r="C105" s="29" t="str">
        <f aca="false">"IPI"&amp;G105&amp;B105</f>
        <v>IPIInstructedReimbursementAgentPartyIdentification</v>
      </c>
      <c r="D105" s="29" t="s">
        <v>711</v>
      </c>
      <c r="E105" s="32" t="str">
        <f aca="false">C104</f>
        <v>IPIInstructedReimbursementAgentPostalAddress</v>
      </c>
      <c r="G105" s="29" t="s">
        <v>712</v>
      </c>
    </row>
    <row r="106" customFormat="false" ht="12" hidden="false" customHeight="false" outlineLevel="0" collapsed="false">
      <c r="A106" s="29" t="s">
        <v>80</v>
      </c>
      <c r="B106" s="29" t="s">
        <v>235</v>
      </c>
      <c r="C106" s="29" t="str">
        <f aca="false">"IPI"&amp;G106&amp;B106</f>
        <v>IPIInstructedReimbursementAgentPartyRoleAccount</v>
      </c>
      <c r="D106" s="29" t="s">
        <v>711</v>
      </c>
      <c r="E106" s="32" t="str">
        <f aca="false">C105</f>
        <v>IPIInstructedReimbursementAgentPartyIdentification</v>
      </c>
      <c r="G106" s="29" t="s">
        <v>712</v>
      </c>
    </row>
    <row r="107" customFormat="false" ht="35.05" hidden="false" customHeight="false" outlineLevel="0" collapsed="false">
      <c r="A107" s="29" t="s">
        <v>80</v>
      </c>
      <c r="B107" s="29" t="s">
        <v>218</v>
      </c>
      <c r="C107" s="29" t="str">
        <f aca="false">"IPI"&amp;G107&amp;B107</f>
        <v>IPIInstructedReimbursementAgentPaymentPartyRole</v>
      </c>
      <c r="D107" s="29" t="s">
        <v>711</v>
      </c>
      <c r="E107" s="32" t="str">
        <f aca="false">C106&amp;", "&amp;C105&amp;", "&amp;$C$21</f>
        <v>IPIInstructedReimbursementAgentPartyRoleAccount, IPIInstructedReimbursementAgentPartyIdentification, InboundPaymentInstruction</v>
      </c>
      <c r="G107" s="29" t="s">
        <v>712</v>
      </c>
      <c r="H107" s="22" t="str">
        <f aca="false">"{ ""PaymentRole"" : """&amp;G107&amp;""" }"</f>
        <v>{ "PaymentRole" : "InstructedReimbursementAgent" }</v>
      </c>
    </row>
    <row r="108" customFormat="false" ht="12" hidden="false" customHeight="false" outlineLevel="0" collapsed="false">
      <c r="A108" s="29" t="s">
        <v>80</v>
      </c>
      <c r="B108" s="29" t="s">
        <v>73</v>
      </c>
      <c r="C108" s="29" t="str">
        <f aca="false">"IPI"&amp;G108&amp;B108</f>
        <v>IPIThirdReimbursementAgentPostalAddress</v>
      </c>
      <c r="D108" s="29" t="s">
        <v>713</v>
      </c>
      <c r="E108" s="32"/>
      <c r="G108" s="29" t="s">
        <v>714</v>
      </c>
    </row>
    <row r="109" customFormat="false" ht="12" hidden="false" customHeight="false" outlineLevel="0" collapsed="false">
      <c r="A109" s="29" t="s">
        <v>80</v>
      </c>
      <c r="B109" s="29" t="s">
        <v>128</v>
      </c>
      <c r="C109" s="29" t="str">
        <f aca="false">"IPI"&amp;G109&amp;B109</f>
        <v>IPIThirdReimbursementAgentPartyIdentification</v>
      </c>
      <c r="D109" s="29" t="s">
        <v>713</v>
      </c>
      <c r="E109" s="32" t="str">
        <f aca="false">C108</f>
        <v>IPIThirdReimbursementAgentPostalAddress</v>
      </c>
      <c r="G109" s="29" t="s">
        <v>714</v>
      </c>
    </row>
    <row r="110" customFormat="false" ht="12" hidden="false" customHeight="false" outlineLevel="0" collapsed="false">
      <c r="A110" s="29" t="s">
        <v>80</v>
      </c>
      <c r="B110" s="29" t="s">
        <v>235</v>
      </c>
      <c r="C110" s="29" t="str">
        <f aca="false">"IPI"&amp;G110&amp;B110</f>
        <v>IPIThirdReimbursementAgentPartyRoleAccount</v>
      </c>
      <c r="D110" s="29" t="s">
        <v>713</v>
      </c>
      <c r="E110" s="32" t="str">
        <f aca="false">C109</f>
        <v>IPIThirdReimbursementAgentPartyIdentification</v>
      </c>
      <c r="G110" s="29" t="s">
        <v>714</v>
      </c>
    </row>
    <row r="111" customFormat="false" ht="35.05" hidden="false" customHeight="false" outlineLevel="0" collapsed="false">
      <c r="A111" s="29" t="s">
        <v>80</v>
      </c>
      <c r="B111" s="29" t="s">
        <v>218</v>
      </c>
      <c r="C111" s="29" t="str">
        <f aca="false">"IPI"&amp;G111&amp;B111</f>
        <v>IPIThirdReimbursementAgentPaymentPartyRole</v>
      </c>
      <c r="D111" s="29" t="s">
        <v>713</v>
      </c>
      <c r="E111" s="32" t="str">
        <f aca="false">C110&amp;", "&amp;C109&amp;", "&amp;$C$21</f>
        <v>IPIThirdReimbursementAgentPartyRoleAccount, IPIThirdReimbursementAgentPartyIdentification, InboundPaymentInstruction</v>
      </c>
      <c r="G111" s="29" t="s">
        <v>714</v>
      </c>
      <c r="H111" s="22" t="str">
        <f aca="false">"{ ""PaymentRole"" : """&amp;G111&amp;""" }"</f>
        <v>{ "PaymentRole" : "ThirdReimbursementAgent" }</v>
      </c>
    </row>
    <row r="112" customFormat="false" ht="12" hidden="false" customHeight="false" outlineLevel="0" collapsed="false">
      <c r="A112" s="29" t="s">
        <v>80</v>
      </c>
      <c r="B112" s="29" t="s">
        <v>73</v>
      </c>
      <c r="C112" s="29" t="str">
        <f aca="false">"IPI"&amp;G112&amp;B112</f>
        <v>IPIChargesAgentPostalAddress</v>
      </c>
      <c r="D112" s="29" t="s">
        <v>715</v>
      </c>
      <c r="E112" s="32"/>
      <c r="G112" s="29" t="s">
        <v>716</v>
      </c>
    </row>
    <row r="113" customFormat="false" ht="12" hidden="false" customHeight="false" outlineLevel="0" collapsed="false">
      <c r="A113" s="29" t="s">
        <v>80</v>
      </c>
      <c r="B113" s="29" t="s">
        <v>128</v>
      </c>
      <c r="C113" s="29" t="str">
        <f aca="false">"IPI"&amp;G113&amp;B113</f>
        <v>IPIChargesAgentPartyIdentification</v>
      </c>
      <c r="D113" s="29" t="s">
        <v>715</v>
      </c>
      <c r="E113" s="32" t="str">
        <f aca="false">C112</f>
        <v>IPIChargesAgentPostalAddress</v>
      </c>
      <c r="G113" s="29" t="s">
        <v>716</v>
      </c>
    </row>
    <row r="114" customFormat="false" ht="12" hidden="false" customHeight="false" outlineLevel="0" collapsed="false">
      <c r="A114" s="29" t="s">
        <v>80</v>
      </c>
      <c r="B114" s="29" t="s">
        <v>235</v>
      </c>
      <c r="C114" s="29" t="str">
        <f aca="false">"IPI"&amp;G114&amp;B114</f>
        <v>IPIChargesAgentPartyRoleAccount</v>
      </c>
      <c r="D114" s="29" t="s">
        <v>715</v>
      </c>
      <c r="E114" s="32" t="str">
        <f aca="false">C113</f>
        <v>IPIChargesAgentPartyIdentification</v>
      </c>
      <c r="G114" s="29" t="s">
        <v>716</v>
      </c>
    </row>
    <row r="115" customFormat="false" ht="35.05" hidden="false" customHeight="false" outlineLevel="0" collapsed="false">
      <c r="A115" s="29" t="s">
        <v>80</v>
      </c>
      <c r="B115" s="29" t="s">
        <v>218</v>
      </c>
      <c r="C115" s="29" t="str">
        <f aca="false">"IPI"&amp;G115&amp;B115</f>
        <v>IPIChargesAgentPaymentPartyRole</v>
      </c>
      <c r="D115" s="29" t="s">
        <v>715</v>
      </c>
      <c r="E115" s="32" t="str">
        <f aca="false">C114&amp;", "&amp;C113&amp;", "&amp;$C$21</f>
        <v>IPIChargesAgentPartyRoleAccount, IPIChargesAgentPartyIdentification, InboundPaymentInstruction</v>
      </c>
      <c r="G115" s="29" t="s">
        <v>716</v>
      </c>
      <c r="H115" s="22" t="str">
        <f aca="false">"{ ""PaymentRole"" : """&amp;G115&amp;""" }"</f>
        <v>{ "PaymentRole" : "ChargesAgent" }</v>
      </c>
    </row>
    <row r="116" customFormat="false" ht="12" hidden="false" customHeight="false" outlineLevel="0" collapsed="false">
      <c r="A116" s="29" t="s">
        <v>80</v>
      </c>
      <c r="B116" s="29" t="s">
        <v>358</v>
      </c>
      <c r="C116" s="29" t="str">
        <f aca="false">"IPI"&amp;G116&amp;B116</f>
        <v>IPIPointer to the appropriate PaymentPartyRole, depending on what's referenced in the instructionPaymentPartyRoleInstruction</v>
      </c>
      <c r="D116" s="29" t="s">
        <v>717</v>
      </c>
      <c r="E116" s="32" t="str">
        <f aca="false">C21&amp;", &lt;PaymentPartyRole&gt;"</f>
        <v>InboundPaymentInstruction, &lt;PaymentPartyRole&gt;</v>
      </c>
      <c r="G116" s="29" t="s">
        <v>718</v>
      </c>
    </row>
    <row r="117" customFormat="false" ht="23.85" hidden="false" customHeight="false" outlineLevel="0" collapsed="false">
      <c r="A117" s="29" t="s">
        <v>80</v>
      </c>
      <c r="B117" s="29" t="s">
        <v>177</v>
      </c>
      <c r="C117" s="29" t="s">
        <v>719</v>
      </c>
      <c r="D117" s="29" t="s">
        <v>658</v>
      </c>
      <c r="E117" s="30" t="s">
        <v>720</v>
      </c>
    </row>
    <row r="118" customFormat="false" ht="12" hidden="false" customHeight="false" outlineLevel="0" collapsed="false">
      <c r="A118" s="29" t="s">
        <v>80</v>
      </c>
      <c r="B118" s="29" t="s">
        <v>368</v>
      </c>
      <c r="C118" s="29" t="s">
        <v>721</v>
      </c>
      <c r="D118" s="29" t="s">
        <v>658</v>
      </c>
      <c r="E118" s="30" t="s">
        <v>658</v>
      </c>
    </row>
    <row r="119" customFormat="false" ht="12" hidden="false" customHeight="false" outlineLevel="0" collapsed="false">
      <c r="A119" s="29" t="s">
        <v>80</v>
      </c>
      <c r="B119" s="29" t="s">
        <v>386</v>
      </c>
      <c r="C119" s="29" t="s">
        <v>722</v>
      </c>
      <c r="D119" s="29" t="s">
        <v>658</v>
      </c>
      <c r="E119" s="30" t="s">
        <v>658</v>
      </c>
    </row>
    <row r="120" customFormat="false" ht="12" hidden="false" customHeight="false" outlineLevel="0" collapsed="false">
      <c r="A120" s="29" t="s">
        <v>80</v>
      </c>
      <c r="B120" s="29" t="s">
        <v>393</v>
      </c>
      <c r="C120" s="29" t="s">
        <v>723</v>
      </c>
      <c r="D120" s="29" t="s">
        <v>658</v>
      </c>
      <c r="E120" s="30" t="s">
        <v>658</v>
      </c>
    </row>
    <row r="121" customFormat="false" ht="12" hidden="false" customHeight="false" outlineLevel="0" collapsed="false">
      <c r="A121" s="29" t="s">
        <v>80</v>
      </c>
      <c r="B121" s="29" t="s">
        <v>73</v>
      </c>
      <c r="C121" s="29" t="s">
        <v>724</v>
      </c>
      <c r="D121" s="29" t="s">
        <v>725</v>
      </c>
    </row>
    <row r="122" customFormat="false" ht="12" hidden="false" customHeight="false" outlineLevel="0" collapsed="false">
      <c r="A122" s="29" t="s">
        <v>80</v>
      </c>
      <c r="B122" s="29" t="s">
        <v>128</v>
      </c>
      <c r="C122" s="29" t="s">
        <v>726</v>
      </c>
      <c r="D122" s="29" t="s">
        <v>725</v>
      </c>
      <c r="E122" s="32" t="s">
        <v>724</v>
      </c>
    </row>
    <row r="123" customFormat="false" ht="23.85" hidden="false" customHeight="false" outlineLevel="0" collapsed="false">
      <c r="A123" s="29" t="s">
        <v>80</v>
      </c>
      <c r="B123" s="29" t="s">
        <v>402</v>
      </c>
      <c r="C123" s="29" t="s">
        <v>727</v>
      </c>
      <c r="D123" s="29" t="s">
        <v>658</v>
      </c>
      <c r="E123" s="32" t="s">
        <v>728</v>
      </c>
    </row>
    <row r="124" customFormat="false" ht="23.85" hidden="false" customHeight="false" outlineLevel="0" collapsed="false">
      <c r="A124" s="29" t="s">
        <v>80</v>
      </c>
      <c r="B124" s="29" t="s">
        <v>338</v>
      </c>
      <c r="C124" s="29" t="s">
        <v>729</v>
      </c>
      <c r="D124" s="29" t="s">
        <v>658</v>
      </c>
      <c r="E124" s="32" t="s">
        <v>730</v>
      </c>
    </row>
    <row r="125" customFormat="false" ht="12" hidden="false" customHeight="false" outlineLevel="0" collapsed="false">
      <c r="A125" s="29" t="s">
        <v>80</v>
      </c>
      <c r="B125" s="29" t="s">
        <v>73</v>
      </c>
      <c r="C125" s="29" t="str">
        <f aca="false">"OPI"&amp;G125&amp;B125</f>
        <v>OPIDebtorPostalAddress</v>
      </c>
      <c r="D125" s="29" t="s">
        <v>731</v>
      </c>
      <c r="E125" s="32"/>
      <c r="G125" s="29" t="s">
        <v>680</v>
      </c>
    </row>
    <row r="126" customFormat="false" ht="12" hidden="false" customHeight="false" outlineLevel="0" collapsed="false">
      <c r="A126" s="29" t="s">
        <v>80</v>
      </c>
      <c r="B126" s="29" t="s">
        <v>128</v>
      </c>
      <c r="C126" s="29" t="str">
        <f aca="false">"OPI"&amp;G126&amp;B126</f>
        <v>OPIDebtorPartyIdentification</v>
      </c>
      <c r="D126" s="29" t="s">
        <v>731</v>
      </c>
      <c r="E126" s="32" t="str">
        <f aca="false">C125</f>
        <v>OPIDebtorPostalAddress</v>
      </c>
      <c r="G126" s="29" t="s">
        <v>680</v>
      </c>
    </row>
    <row r="127" customFormat="false" ht="12" hidden="false" customHeight="false" outlineLevel="0" collapsed="false">
      <c r="A127" s="29" t="s">
        <v>80</v>
      </c>
      <c r="B127" s="29" t="s">
        <v>235</v>
      </c>
      <c r="C127" s="29" t="str">
        <f aca="false">"OPI"&amp;G127&amp;B127</f>
        <v>OPIDebtorPartyRoleAccount</v>
      </c>
      <c r="D127" s="29" t="s">
        <v>731</v>
      </c>
      <c r="E127" s="32" t="str">
        <f aca="false">C126</f>
        <v>OPIDebtorPartyIdentification</v>
      </c>
      <c r="G127" s="29" t="s">
        <v>680</v>
      </c>
    </row>
    <row r="128" customFormat="false" ht="35.05" hidden="false" customHeight="false" outlineLevel="0" collapsed="false">
      <c r="A128" s="29" t="s">
        <v>80</v>
      </c>
      <c r="B128" s="29" t="s">
        <v>218</v>
      </c>
      <c r="C128" s="29" t="str">
        <f aca="false">"OPI"&amp;G128&amp;B128</f>
        <v>OPIDebtorPaymentPartyRole</v>
      </c>
      <c r="D128" s="29" t="s">
        <v>731</v>
      </c>
      <c r="E128" s="32" t="str">
        <f aca="false">C127&amp;", "&amp;C126&amp;", "&amp;$C$22</f>
        <v>OPIDebtorPartyRoleAccount, OPIDebtorPartyIdentification, OutboundPaymentInstruction</v>
      </c>
      <c r="G128" s="29" t="s">
        <v>680</v>
      </c>
      <c r="H128" s="22" t="str">
        <f aca="false">"{ ""PaymentRole"" : """&amp;G128&amp;""" }"</f>
        <v>{ "PaymentRole" : "Debtor" }</v>
      </c>
    </row>
    <row r="129" customFormat="false" ht="12" hidden="false" customHeight="false" outlineLevel="0" collapsed="false">
      <c r="A129" s="29" t="s">
        <v>80</v>
      </c>
      <c r="B129" s="29" t="s">
        <v>73</v>
      </c>
      <c r="C129" s="29" t="str">
        <f aca="false">"OPI"&amp;G129&amp;B129</f>
        <v>OPICreditorPostalAddress</v>
      </c>
      <c r="D129" s="29" t="s">
        <v>732</v>
      </c>
      <c r="E129" s="32"/>
      <c r="G129" s="29" t="s">
        <v>682</v>
      </c>
    </row>
    <row r="130" customFormat="false" ht="12" hidden="false" customHeight="false" outlineLevel="0" collapsed="false">
      <c r="A130" s="29" t="s">
        <v>80</v>
      </c>
      <c r="B130" s="29" t="s">
        <v>128</v>
      </c>
      <c r="C130" s="29" t="str">
        <f aca="false">"OPI"&amp;G130&amp;B130</f>
        <v>OPICreditorPartyIdentification</v>
      </c>
      <c r="D130" s="29" t="s">
        <v>732</v>
      </c>
      <c r="E130" s="32" t="str">
        <f aca="false">C129</f>
        <v>OPICreditorPostalAddress</v>
      </c>
      <c r="G130" s="29" t="s">
        <v>682</v>
      </c>
    </row>
    <row r="131" customFormat="false" ht="12" hidden="false" customHeight="false" outlineLevel="0" collapsed="false">
      <c r="A131" s="29" t="s">
        <v>80</v>
      </c>
      <c r="B131" s="29" t="s">
        <v>235</v>
      </c>
      <c r="C131" s="29" t="str">
        <f aca="false">"OPI"&amp;G131&amp;B131</f>
        <v>OPICreditorPartyRoleAccount</v>
      </c>
      <c r="D131" s="29" t="s">
        <v>732</v>
      </c>
      <c r="E131" s="32" t="str">
        <f aca="false">C130</f>
        <v>OPICreditorPartyIdentification</v>
      </c>
      <c r="G131" s="29" t="s">
        <v>682</v>
      </c>
    </row>
    <row r="132" customFormat="false" ht="35.05" hidden="false" customHeight="false" outlineLevel="0" collapsed="false">
      <c r="A132" s="29" t="s">
        <v>80</v>
      </c>
      <c r="B132" s="29" t="s">
        <v>218</v>
      </c>
      <c r="C132" s="29" t="str">
        <f aca="false">"OPI"&amp;G132&amp;B132</f>
        <v>OPICreditorPaymentPartyRole</v>
      </c>
      <c r="D132" s="29" t="s">
        <v>732</v>
      </c>
      <c r="E132" s="32" t="str">
        <f aca="false">C131&amp;", "&amp;C130&amp;", "&amp;$C$22</f>
        <v>OPICreditorPartyRoleAccount, OPICreditorPartyIdentification, OutboundPaymentInstruction</v>
      </c>
      <c r="G132" s="29" t="s">
        <v>682</v>
      </c>
      <c r="H132" s="22" t="str">
        <f aca="false">"{ ""PaymentRole"" : """&amp;G132&amp;""" }"</f>
        <v>{ "PaymentRole" : "Creditor" }</v>
      </c>
    </row>
    <row r="133" customFormat="false" ht="12" hidden="false" customHeight="false" outlineLevel="0" collapsed="false">
      <c r="A133" s="29" t="s">
        <v>80</v>
      </c>
      <c r="B133" s="29" t="s">
        <v>73</v>
      </c>
      <c r="C133" s="29" t="str">
        <f aca="false">"OPI"&amp;G133&amp;B133</f>
        <v>OPIDebtorAgentPostalAddress</v>
      </c>
      <c r="D133" s="29" t="s">
        <v>733</v>
      </c>
      <c r="E133" s="32"/>
      <c r="G133" s="29" t="s">
        <v>684</v>
      </c>
    </row>
    <row r="134" customFormat="false" ht="12" hidden="false" customHeight="false" outlineLevel="0" collapsed="false">
      <c r="A134" s="29" t="s">
        <v>80</v>
      </c>
      <c r="B134" s="29" t="s">
        <v>128</v>
      </c>
      <c r="C134" s="29" t="str">
        <f aca="false">"OPI"&amp;G134&amp;B134</f>
        <v>OPIDebtorAgentPartyIdentification</v>
      </c>
      <c r="D134" s="29" t="s">
        <v>733</v>
      </c>
      <c r="E134" s="32" t="str">
        <f aca="false">C133</f>
        <v>OPIDebtorAgentPostalAddress</v>
      </c>
      <c r="G134" s="29" t="s">
        <v>684</v>
      </c>
    </row>
    <row r="135" customFormat="false" ht="12" hidden="false" customHeight="false" outlineLevel="0" collapsed="false">
      <c r="A135" s="29" t="s">
        <v>80</v>
      </c>
      <c r="B135" s="29" t="s">
        <v>235</v>
      </c>
      <c r="C135" s="29" t="str">
        <f aca="false">"OPI"&amp;G135&amp;B135</f>
        <v>OPIDebtorAgentPartyRoleAccount</v>
      </c>
      <c r="D135" s="29" t="s">
        <v>733</v>
      </c>
      <c r="E135" s="32" t="str">
        <f aca="false">C134</f>
        <v>OPIDebtorAgentPartyIdentification</v>
      </c>
      <c r="G135" s="29" t="s">
        <v>684</v>
      </c>
    </row>
    <row r="136" customFormat="false" ht="35.05" hidden="false" customHeight="false" outlineLevel="0" collapsed="false">
      <c r="A136" s="29" t="s">
        <v>80</v>
      </c>
      <c r="B136" s="29" t="s">
        <v>218</v>
      </c>
      <c r="C136" s="29" t="str">
        <f aca="false">"OPI"&amp;G136&amp;B136</f>
        <v>OPIDebtorAgentPaymentPartyRole</v>
      </c>
      <c r="D136" s="29" t="s">
        <v>733</v>
      </c>
      <c r="E136" s="32" t="str">
        <f aca="false">C135&amp;", "&amp;C134&amp;", "&amp;$C$22</f>
        <v>OPIDebtorAgentPartyRoleAccount, OPIDebtorAgentPartyIdentification, OutboundPaymentInstruction</v>
      </c>
      <c r="G136" s="29" t="s">
        <v>684</v>
      </c>
      <c r="H136" s="22" t="str">
        <f aca="false">"{ ""PaymentRole"" : """&amp;G136&amp;""" }"</f>
        <v>{ "PaymentRole" : "DebtorAgent" }</v>
      </c>
    </row>
    <row r="137" customFormat="false" ht="12" hidden="false" customHeight="false" outlineLevel="0" collapsed="false">
      <c r="A137" s="29" t="s">
        <v>80</v>
      </c>
      <c r="B137" s="29" t="s">
        <v>73</v>
      </c>
      <c r="C137" s="29" t="str">
        <f aca="false">"OPI"&amp;G137&amp;B137</f>
        <v>OPICreditorAgentPostalAddress</v>
      </c>
      <c r="D137" s="29" t="s">
        <v>734</v>
      </c>
      <c r="E137" s="32"/>
      <c r="G137" s="29" t="s">
        <v>686</v>
      </c>
    </row>
    <row r="138" customFormat="false" ht="12" hidden="false" customHeight="false" outlineLevel="0" collapsed="false">
      <c r="A138" s="29" t="s">
        <v>80</v>
      </c>
      <c r="B138" s="29" t="s">
        <v>128</v>
      </c>
      <c r="C138" s="29" t="str">
        <f aca="false">"OPI"&amp;G138&amp;B138</f>
        <v>OPICreditorAgentPartyIdentification</v>
      </c>
      <c r="D138" s="29" t="s">
        <v>734</v>
      </c>
      <c r="E138" s="32" t="str">
        <f aca="false">C137</f>
        <v>OPICreditorAgentPostalAddress</v>
      </c>
      <c r="G138" s="29" t="s">
        <v>686</v>
      </c>
    </row>
    <row r="139" customFormat="false" ht="12" hidden="false" customHeight="false" outlineLevel="0" collapsed="false">
      <c r="A139" s="29" t="s">
        <v>80</v>
      </c>
      <c r="B139" s="29" t="s">
        <v>235</v>
      </c>
      <c r="C139" s="29" t="str">
        <f aca="false">"OPI"&amp;G139&amp;B139</f>
        <v>OPICreditorAgentPartyRoleAccount</v>
      </c>
      <c r="D139" s="29" t="s">
        <v>734</v>
      </c>
      <c r="E139" s="32" t="str">
        <f aca="false">C138</f>
        <v>OPICreditorAgentPartyIdentification</v>
      </c>
      <c r="G139" s="29" t="s">
        <v>686</v>
      </c>
    </row>
    <row r="140" customFormat="false" ht="35.05" hidden="false" customHeight="false" outlineLevel="0" collapsed="false">
      <c r="A140" s="29" t="s">
        <v>80</v>
      </c>
      <c r="B140" s="29" t="s">
        <v>218</v>
      </c>
      <c r="C140" s="29" t="str">
        <f aca="false">"OPI"&amp;G140&amp;B140</f>
        <v>OPICreditorAgentPaymentPartyRole</v>
      </c>
      <c r="D140" s="29" t="s">
        <v>734</v>
      </c>
      <c r="E140" s="32" t="str">
        <f aca="false">C139&amp;", "&amp;C138&amp;", "&amp;$C$22</f>
        <v>OPICreditorAgentPartyRoleAccount, OPICreditorAgentPartyIdentification, OutboundPaymentInstruction</v>
      </c>
      <c r="G140" s="29" t="s">
        <v>686</v>
      </c>
      <c r="H140" s="22" t="str">
        <f aca="false">"{ ""PaymentRole"" : """&amp;G140&amp;""" }"</f>
        <v>{ "PaymentRole" : "CreditorAgent" }</v>
      </c>
    </row>
    <row r="141" customFormat="false" ht="12" hidden="false" customHeight="false" outlineLevel="0" collapsed="false">
      <c r="A141" s="29" t="s">
        <v>80</v>
      </c>
      <c r="B141" s="29" t="s">
        <v>73</v>
      </c>
      <c r="C141" s="29" t="str">
        <f aca="false">"OPI"&amp;G141&amp;B141</f>
        <v>OPIInitiatingPartyPostalAddress</v>
      </c>
      <c r="D141" s="29" t="s">
        <v>735</v>
      </c>
      <c r="E141" s="32"/>
      <c r="G141" s="29" t="s">
        <v>688</v>
      </c>
    </row>
    <row r="142" customFormat="false" ht="12" hidden="false" customHeight="false" outlineLevel="0" collapsed="false">
      <c r="A142" s="29" t="s">
        <v>80</v>
      </c>
      <c r="B142" s="29" t="s">
        <v>128</v>
      </c>
      <c r="C142" s="29" t="str">
        <f aca="false">"OPI"&amp;G142&amp;B142</f>
        <v>OPIInitiatingPartyPartyIdentification</v>
      </c>
      <c r="D142" s="29" t="s">
        <v>735</v>
      </c>
      <c r="E142" s="32" t="str">
        <f aca="false">C141</f>
        <v>OPIInitiatingPartyPostalAddress</v>
      </c>
      <c r="G142" s="29" t="s">
        <v>688</v>
      </c>
    </row>
    <row r="143" customFormat="false" ht="12" hidden="false" customHeight="false" outlineLevel="0" collapsed="false">
      <c r="A143" s="29" t="s">
        <v>80</v>
      </c>
      <c r="B143" s="29" t="s">
        <v>235</v>
      </c>
      <c r="C143" s="29" t="str">
        <f aca="false">"OPI"&amp;G143&amp;B143</f>
        <v>OPIInitiatingPartyPartyRoleAccount</v>
      </c>
      <c r="D143" s="29" t="s">
        <v>735</v>
      </c>
      <c r="E143" s="32" t="str">
        <f aca="false">C142</f>
        <v>OPIInitiatingPartyPartyIdentification</v>
      </c>
      <c r="G143" s="29" t="s">
        <v>688</v>
      </c>
    </row>
    <row r="144" customFormat="false" ht="35.05" hidden="false" customHeight="false" outlineLevel="0" collapsed="false">
      <c r="A144" s="29" t="s">
        <v>80</v>
      </c>
      <c r="B144" s="29" t="s">
        <v>218</v>
      </c>
      <c r="C144" s="29" t="str">
        <f aca="false">"OPI"&amp;G144&amp;B144</f>
        <v>OPIInitiatingPartyPaymentPartyRole</v>
      </c>
      <c r="D144" s="29" t="s">
        <v>735</v>
      </c>
      <c r="E144" s="32" t="str">
        <f aca="false">C143&amp;", "&amp;C142&amp;", "&amp;$C$22</f>
        <v>OPIInitiatingPartyPartyRoleAccount, OPIInitiatingPartyPartyIdentification, OutboundPaymentInstruction</v>
      </c>
      <c r="G144" s="29" t="s">
        <v>688</v>
      </c>
      <c r="H144" s="22" t="str">
        <f aca="false">"{ ""PaymentRole"" : """&amp;G144&amp;""" }"</f>
        <v>{ "PaymentRole" : "InitiatingParty" }</v>
      </c>
    </row>
    <row r="145" customFormat="false" ht="12" hidden="false" customHeight="false" outlineLevel="0" collapsed="false">
      <c r="A145" s="29" t="s">
        <v>80</v>
      </c>
      <c r="B145" s="29" t="s">
        <v>73</v>
      </c>
      <c r="C145" s="29" t="str">
        <f aca="false">"OPI"&amp;G145&amp;B145</f>
        <v>OPIUltimateDebtorPostalAddress</v>
      </c>
      <c r="D145" s="29" t="s">
        <v>736</v>
      </c>
      <c r="E145" s="32"/>
      <c r="G145" s="29" t="s">
        <v>690</v>
      </c>
    </row>
    <row r="146" customFormat="false" ht="12" hidden="false" customHeight="false" outlineLevel="0" collapsed="false">
      <c r="A146" s="29" t="s">
        <v>80</v>
      </c>
      <c r="B146" s="29" t="s">
        <v>128</v>
      </c>
      <c r="C146" s="29" t="str">
        <f aca="false">"OPI"&amp;G146&amp;B146</f>
        <v>OPIUltimateDebtorPartyIdentification</v>
      </c>
      <c r="D146" s="29" t="s">
        <v>736</v>
      </c>
      <c r="E146" s="32" t="str">
        <f aca="false">C145</f>
        <v>OPIUltimateDebtorPostalAddress</v>
      </c>
      <c r="G146" s="29" t="s">
        <v>690</v>
      </c>
    </row>
    <row r="147" customFormat="false" ht="12" hidden="false" customHeight="false" outlineLevel="0" collapsed="false">
      <c r="A147" s="29" t="s">
        <v>80</v>
      </c>
      <c r="B147" s="29" t="s">
        <v>235</v>
      </c>
      <c r="C147" s="29" t="str">
        <f aca="false">"OPI"&amp;G147&amp;B147</f>
        <v>OPIUltimateDebtorPartyRoleAccount</v>
      </c>
      <c r="D147" s="29" t="s">
        <v>736</v>
      </c>
      <c r="E147" s="32" t="str">
        <f aca="false">C146</f>
        <v>OPIUltimateDebtorPartyIdentification</v>
      </c>
      <c r="G147" s="29" t="s">
        <v>690</v>
      </c>
    </row>
    <row r="148" customFormat="false" ht="35.05" hidden="false" customHeight="false" outlineLevel="0" collapsed="false">
      <c r="A148" s="29" t="s">
        <v>80</v>
      </c>
      <c r="B148" s="29" t="s">
        <v>218</v>
      </c>
      <c r="C148" s="29" t="str">
        <f aca="false">"OPI"&amp;G148&amp;B148</f>
        <v>OPIUltimateDebtorPaymentPartyRole</v>
      </c>
      <c r="D148" s="29" t="s">
        <v>736</v>
      </c>
      <c r="E148" s="32" t="str">
        <f aca="false">C147&amp;", "&amp;C146&amp;", "&amp;$C$22</f>
        <v>OPIUltimateDebtorPartyRoleAccount, OPIUltimateDebtorPartyIdentification, OutboundPaymentInstruction</v>
      </c>
      <c r="G148" s="29" t="s">
        <v>690</v>
      </c>
      <c r="H148" s="22" t="str">
        <f aca="false">"{ ""PaymentRole"" : """&amp;G148&amp;""" }"</f>
        <v>{ "PaymentRole" : "UltimateDebtor" }</v>
      </c>
    </row>
    <row r="149" customFormat="false" ht="12" hidden="false" customHeight="false" outlineLevel="0" collapsed="false">
      <c r="A149" s="29" t="s">
        <v>80</v>
      </c>
      <c r="B149" s="29" t="s">
        <v>73</v>
      </c>
      <c r="C149" s="29" t="str">
        <f aca="false">"OPI"&amp;G149&amp;B149</f>
        <v>OPIUltimateCreditorPostalAddress</v>
      </c>
      <c r="D149" s="29" t="s">
        <v>737</v>
      </c>
      <c r="E149" s="32"/>
      <c r="G149" s="29" t="s">
        <v>692</v>
      </c>
    </row>
    <row r="150" customFormat="false" ht="12" hidden="false" customHeight="false" outlineLevel="0" collapsed="false">
      <c r="A150" s="29" t="s">
        <v>80</v>
      </c>
      <c r="B150" s="29" t="s">
        <v>128</v>
      </c>
      <c r="C150" s="29" t="str">
        <f aca="false">"OPI"&amp;G150&amp;B150</f>
        <v>OPIUltimateCreditorPartyIdentification</v>
      </c>
      <c r="D150" s="29" t="s">
        <v>737</v>
      </c>
      <c r="E150" s="32" t="str">
        <f aca="false">C149</f>
        <v>OPIUltimateCreditorPostalAddress</v>
      </c>
      <c r="G150" s="29" t="s">
        <v>692</v>
      </c>
    </row>
    <row r="151" customFormat="false" ht="12" hidden="false" customHeight="false" outlineLevel="0" collapsed="false">
      <c r="A151" s="29" t="s">
        <v>80</v>
      </c>
      <c r="B151" s="29" t="s">
        <v>235</v>
      </c>
      <c r="C151" s="29" t="str">
        <f aca="false">"OPI"&amp;G151&amp;B151</f>
        <v>OPIUltimateCreditorPartyRoleAccount</v>
      </c>
      <c r="D151" s="29" t="s">
        <v>737</v>
      </c>
      <c r="E151" s="32" t="str">
        <f aca="false">C150</f>
        <v>OPIUltimateCreditorPartyIdentification</v>
      </c>
      <c r="G151" s="29" t="s">
        <v>692</v>
      </c>
    </row>
    <row r="152" customFormat="false" ht="35.05" hidden="false" customHeight="false" outlineLevel="0" collapsed="false">
      <c r="A152" s="29" t="s">
        <v>80</v>
      </c>
      <c r="B152" s="29" t="s">
        <v>218</v>
      </c>
      <c r="C152" s="29" t="str">
        <f aca="false">"OPI"&amp;G152&amp;B152</f>
        <v>OPIUltimateCreditorPaymentPartyRole</v>
      </c>
      <c r="D152" s="29" t="s">
        <v>737</v>
      </c>
      <c r="E152" s="32" t="str">
        <f aca="false">C151&amp;", "&amp;C150&amp;", "&amp;$C$22</f>
        <v>OPIUltimateCreditorPartyRoleAccount, OPIUltimateCreditorPartyIdentification, OutboundPaymentInstruction</v>
      </c>
      <c r="G152" s="29" t="s">
        <v>692</v>
      </c>
      <c r="H152" s="22" t="str">
        <f aca="false">"{ ""PaymentRole"" : """&amp;G152&amp;""" }"</f>
        <v>{ "PaymentRole" : "UltimateCreditor" }</v>
      </c>
    </row>
    <row r="153" customFormat="false" ht="12" hidden="false" customHeight="false" outlineLevel="0" collapsed="false">
      <c r="A153" s="29" t="s">
        <v>80</v>
      </c>
      <c r="B153" s="29" t="s">
        <v>73</v>
      </c>
      <c r="C153" s="29" t="str">
        <f aca="false">"OPI"&amp;G153&amp;B153</f>
        <v>OPIIntermediaryAgent1PostalAddress</v>
      </c>
      <c r="D153" s="29" t="s">
        <v>738</v>
      </c>
      <c r="E153" s="32"/>
      <c r="G153" s="29" t="s">
        <v>694</v>
      </c>
    </row>
    <row r="154" customFormat="false" ht="12" hidden="false" customHeight="false" outlineLevel="0" collapsed="false">
      <c r="A154" s="29" t="s">
        <v>80</v>
      </c>
      <c r="B154" s="29" t="s">
        <v>128</v>
      </c>
      <c r="C154" s="29" t="str">
        <f aca="false">"OPI"&amp;G154&amp;B154</f>
        <v>OPIIntermediaryAgent1PartyIdentification</v>
      </c>
      <c r="D154" s="29" t="s">
        <v>738</v>
      </c>
      <c r="E154" s="32" t="str">
        <f aca="false">C153</f>
        <v>OPIIntermediaryAgent1PostalAddress</v>
      </c>
      <c r="G154" s="29" t="s">
        <v>694</v>
      </c>
    </row>
    <row r="155" customFormat="false" ht="12" hidden="false" customHeight="false" outlineLevel="0" collapsed="false">
      <c r="A155" s="29" t="s">
        <v>80</v>
      </c>
      <c r="B155" s="29" t="s">
        <v>235</v>
      </c>
      <c r="C155" s="29" t="str">
        <f aca="false">"OPI"&amp;G155&amp;B155</f>
        <v>OPIIntermediaryAgent1PartyRoleAccount</v>
      </c>
      <c r="D155" s="29" t="s">
        <v>738</v>
      </c>
      <c r="E155" s="32" t="str">
        <f aca="false">C154</f>
        <v>OPIIntermediaryAgent1PartyIdentification</v>
      </c>
      <c r="G155" s="29" t="s">
        <v>694</v>
      </c>
    </row>
    <row r="156" customFormat="false" ht="35.05" hidden="false" customHeight="false" outlineLevel="0" collapsed="false">
      <c r="A156" s="29" t="s">
        <v>80</v>
      </c>
      <c r="B156" s="29" t="s">
        <v>218</v>
      </c>
      <c r="C156" s="29" t="str">
        <f aca="false">"OPI"&amp;G156&amp;B156</f>
        <v>OPIIntermediaryAgent1PaymentPartyRole</v>
      </c>
      <c r="D156" s="29" t="s">
        <v>738</v>
      </c>
      <c r="E156" s="32" t="str">
        <f aca="false">C155&amp;", "&amp;C154&amp;", "&amp;$C$22</f>
        <v>OPIIntermediaryAgent1PartyRoleAccount, OPIIntermediaryAgent1PartyIdentification, OutboundPaymentInstruction</v>
      </c>
      <c r="G156" s="29" t="s">
        <v>694</v>
      </c>
      <c r="H156" s="22" t="str">
        <f aca="false">"{ ""PaymentRole"" : """&amp;G156&amp;""" }"</f>
        <v>{ "PaymentRole" : "IntermediaryAgent1" }</v>
      </c>
    </row>
    <row r="157" customFormat="false" ht="12" hidden="false" customHeight="false" outlineLevel="0" collapsed="false">
      <c r="A157" s="29" t="s">
        <v>80</v>
      </c>
      <c r="B157" s="29" t="s">
        <v>73</v>
      </c>
      <c r="C157" s="29" t="str">
        <f aca="false">"OPI"&amp;G157&amp;B157</f>
        <v>OPIIntermediaryAgent2PostalAddress</v>
      </c>
      <c r="D157" s="29" t="s">
        <v>739</v>
      </c>
      <c r="E157" s="32"/>
      <c r="G157" s="29" t="s">
        <v>696</v>
      </c>
    </row>
    <row r="158" customFormat="false" ht="12" hidden="false" customHeight="false" outlineLevel="0" collapsed="false">
      <c r="A158" s="29" t="s">
        <v>80</v>
      </c>
      <c r="B158" s="29" t="s">
        <v>128</v>
      </c>
      <c r="C158" s="29" t="str">
        <f aca="false">"OPI"&amp;G158&amp;B158</f>
        <v>OPIIntermediaryAgent2PartyIdentification</v>
      </c>
      <c r="D158" s="29" t="s">
        <v>739</v>
      </c>
      <c r="E158" s="32" t="str">
        <f aca="false">C157</f>
        <v>OPIIntermediaryAgent2PostalAddress</v>
      </c>
      <c r="G158" s="29" t="s">
        <v>696</v>
      </c>
    </row>
    <row r="159" customFormat="false" ht="12" hidden="false" customHeight="false" outlineLevel="0" collapsed="false">
      <c r="A159" s="29" t="s">
        <v>80</v>
      </c>
      <c r="B159" s="29" t="s">
        <v>235</v>
      </c>
      <c r="C159" s="29" t="str">
        <f aca="false">"OPI"&amp;G159&amp;B159</f>
        <v>OPIIntermediaryAgent2PartyRoleAccount</v>
      </c>
      <c r="D159" s="29" t="s">
        <v>739</v>
      </c>
      <c r="E159" s="32" t="str">
        <f aca="false">C158</f>
        <v>OPIIntermediaryAgent2PartyIdentification</v>
      </c>
      <c r="G159" s="29" t="s">
        <v>696</v>
      </c>
    </row>
    <row r="160" customFormat="false" ht="35.05" hidden="false" customHeight="false" outlineLevel="0" collapsed="false">
      <c r="A160" s="29" t="s">
        <v>80</v>
      </c>
      <c r="B160" s="29" t="s">
        <v>218</v>
      </c>
      <c r="C160" s="29" t="str">
        <f aca="false">"OPI"&amp;G160&amp;B160</f>
        <v>OPIIntermediaryAgent2PaymentPartyRole</v>
      </c>
      <c r="D160" s="29" t="s">
        <v>739</v>
      </c>
      <c r="E160" s="32" t="str">
        <f aca="false">C159&amp;", "&amp;C158&amp;", "&amp;$C$22</f>
        <v>OPIIntermediaryAgent2PartyRoleAccount, OPIIntermediaryAgent2PartyIdentification, OutboundPaymentInstruction</v>
      </c>
      <c r="G160" s="29" t="s">
        <v>696</v>
      </c>
      <c r="H160" s="22" t="str">
        <f aca="false">"{ ""PaymentRole"" : """&amp;G160&amp;""" }"</f>
        <v>{ "PaymentRole" : "IntermediaryAgent2" }</v>
      </c>
    </row>
    <row r="161" customFormat="false" ht="12" hidden="false" customHeight="false" outlineLevel="0" collapsed="false">
      <c r="A161" s="29" t="s">
        <v>80</v>
      </c>
      <c r="B161" s="29" t="s">
        <v>73</v>
      </c>
      <c r="C161" s="29" t="str">
        <f aca="false">"OPI"&amp;G161&amp;B161</f>
        <v>OPIIntermediaryAgent3PostalAddress</v>
      </c>
      <c r="D161" s="29" t="s">
        <v>740</v>
      </c>
      <c r="E161" s="32"/>
      <c r="G161" s="29" t="s">
        <v>698</v>
      </c>
    </row>
    <row r="162" customFormat="false" ht="12" hidden="false" customHeight="false" outlineLevel="0" collapsed="false">
      <c r="A162" s="29" t="s">
        <v>80</v>
      </c>
      <c r="B162" s="29" t="s">
        <v>128</v>
      </c>
      <c r="C162" s="29" t="str">
        <f aca="false">"OPI"&amp;G162&amp;B162</f>
        <v>OPIIntermediaryAgent3PartyIdentification</v>
      </c>
      <c r="D162" s="29" t="s">
        <v>740</v>
      </c>
      <c r="E162" s="32" t="str">
        <f aca="false">C161</f>
        <v>OPIIntermediaryAgent3PostalAddress</v>
      </c>
      <c r="G162" s="29" t="s">
        <v>698</v>
      </c>
    </row>
    <row r="163" customFormat="false" ht="12" hidden="false" customHeight="false" outlineLevel="0" collapsed="false">
      <c r="A163" s="29" t="s">
        <v>80</v>
      </c>
      <c r="B163" s="29" t="s">
        <v>235</v>
      </c>
      <c r="C163" s="29" t="str">
        <f aca="false">"OPI"&amp;G163&amp;B163</f>
        <v>OPIIntermediaryAgent3PartyRoleAccount</v>
      </c>
      <c r="D163" s="29" t="s">
        <v>740</v>
      </c>
      <c r="E163" s="32" t="str">
        <f aca="false">C162</f>
        <v>OPIIntermediaryAgent3PartyIdentification</v>
      </c>
      <c r="G163" s="29" t="s">
        <v>698</v>
      </c>
    </row>
    <row r="164" customFormat="false" ht="35.05" hidden="false" customHeight="false" outlineLevel="0" collapsed="false">
      <c r="A164" s="29" t="s">
        <v>80</v>
      </c>
      <c r="B164" s="29" t="s">
        <v>218</v>
      </c>
      <c r="C164" s="29" t="str">
        <f aca="false">"OPI"&amp;G164&amp;B164</f>
        <v>OPIIntermediaryAgent3PaymentPartyRole</v>
      </c>
      <c r="D164" s="29" t="s">
        <v>740</v>
      </c>
      <c r="E164" s="32" t="str">
        <f aca="false">C163&amp;", "&amp;C162&amp;", "&amp;$C$22</f>
        <v>OPIIntermediaryAgent3PartyRoleAccount, OPIIntermediaryAgent3PartyIdentification, OutboundPaymentInstruction</v>
      </c>
      <c r="G164" s="29" t="s">
        <v>698</v>
      </c>
      <c r="H164" s="22" t="str">
        <f aca="false">"{ ""PaymentRole"" : """&amp;G164&amp;""" }"</f>
        <v>{ "PaymentRole" : "IntermediaryAgent3" }</v>
      </c>
    </row>
    <row r="165" customFormat="false" ht="12" hidden="false" customHeight="false" outlineLevel="0" collapsed="false">
      <c r="A165" s="29" t="s">
        <v>80</v>
      </c>
      <c r="B165" s="29" t="s">
        <v>73</v>
      </c>
      <c r="C165" s="29" t="str">
        <f aca="false">"OPI"&amp;G165&amp;B165</f>
        <v>OPIInstructedAgentPostalAddress</v>
      </c>
      <c r="D165" s="29" t="s">
        <v>741</v>
      </c>
      <c r="E165" s="32"/>
      <c r="G165" s="29" t="s">
        <v>700</v>
      </c>
    </row>
    <row r="166" customFormat="false" ht="12" hidden="false" customHeight="false" outlineLevel="0" collapsed="false">
      <c r="A166" s="29" t="s">
        <v>80</v>
      </c>
      <c r="B166" s="29" t="s">
        <v>128</v>
      </c>
      <c r="C166" s="29" t="str">
        <f aca="false">"OPI"&amp;G166&amp;B166</f>
        <v>OPIInstructedAgentPartyIdentification</v>
      </c>
      <c r="D166" s="29" t="s">
        <v>741</v>
      </c>
      <c r="E166" s="32" t="str">
        <f aca="false">C165</f>
        <v>OPIInstructedAgentPostalAddress</v>
      </c>
      <c r="G166" s="29" t="s">
        <v>700</v>
      </c>
    </row>
    <row r="167" customFormat="false" ht="12" hidden="false" customHeight="false" outlineLevel="0" collapsed="false">
      <c r="A167" s="29" t="s">
        <v>80</v>
      </c>
      <c r="B167" s="29" t="s">
        <v>235</v>
      </c>
      <c r="C167" s="29" t="str">
        <f aca="false">"OPI"&amp;G167&amp;B167</f>
        <v>OPIInstructedAgentPartyRoleAccount</v>
      </c>
      <c r="D167" s="29" t="s">
        <v>741</v>
      </c>
      <c r="E167" s="32" t="str">
        <f aca="false">C166</f>
        <v>OPIInstructedAgentPartyIdentification</v>
      </c>
      <c r="G167" s="29" t="s">
        <v>700</v>
      </c>
    </row>
    <row r="168" customFormat="false" ht="35.05" hidden="false" customHeight="false" outlineLevel="0" collapsed="false">
      <c r="A168" s="29" t="s">
        <v>80</v>
      </c>
      <c r="B168" s="29" t="s">
        <v>218</v>
      </c>
      <c r="C168" s="29" t="str">
        <f aca="false">"OPI"&amp;G168&amp;B168</f>
        <v>OPIInstructedAgentPaymentPartyRole</v>
      </c>
      <c r="D168" s="29" t="s">
        <v>741</v>
      </c>
      <c r="E168" s="32" t="str">
        <f aca="false">C167&amp;", "&amp;C166&amp;", "&amp;$C$22</f>
        <v>OPIInstructedAgentPartyRoleAccount, OPIInstructedAgentPartyIdentification, OutboundPaymentInstruction</v>
      </c>
      <c r="G168" s="29" t="s">
        <v>700</v>
      </c>
      <c r="H168" s="22" t="str">
        <f aca="false">"{ ""PaymentRole"" : """&amp;G168&amp;""" }"</f>
        <v>{ "PaymentRole" : "InstructedAgent" }</v>
      </c>
    </row>
    <row r="169" customFormat="false" ht="12" hidden="false" customHeight="false" outlineLevel="0" collapsed="false">
      <c r="A169" s="29" t="s">
        <v>80</v>
      </c>
      <c r="B169" s="29" t="s">
        <v>73</v>
      </c>
      <c r="C169" s="29" t="str">
        <f aca="false">"OPI"&amp;G169&amp;B169</f>
        <v>OPIInstructingAgentPostalAddress</v>
      </c>
      <c r="D169" s="29" t="s">
        <v>742</v>
      </c>
      <c r="E169" s="32"/>
      <c r="G169" s="29" t="s">
        <v>702</v>
      </c>
    </row>
    <row r="170" customFormat="false" ht="12" hidden="false" customHeight="false" outlineLevel="0" collapsed="false">
      <c r="A170" s="29" t="s">
        <v>80</v>
      </c>
      <c r="B170" s="29" t="s">
        <v>128</v>
      </c>
      <c r="C170" s="29" t="str">
        <f aca="false">"OPI"&amp;G170&amp;B170</f>
        <v>OPIInstructingAgentPartyIdentification</v>
      </c>
      <c r="D170" s="29" t="s">
        <v>742</v>
      </c>
      <c r="E170" s="32" t="str">
        <f aca="false">C169</f>
        <v>OPIInstructingAgentPostalAddress</v>
      </c>
      <c r="G170" s="29" t="s">
        <v>702</v>
      </c>
    </row>
    <row r="171" customFormat="false" ht="12" hidden="false" customHeight="false" outlineLevel="0" collapsed="false">
      <c r="A171" s="29" t="s">
        <v>80</v>
      </c>
      <c r="B171" s="29" t="s">
        <v>235</v>
      </c>
      <c r="C171" s="29" t="str">
        <f aca="false">"OPI"&amp;G171&amp;B171</f>
        <v>OPIInstructingAgentPartyRoleAccount</v>
      </c>
      <c r="D171" s="29" t="s">
        <v>742</v>
      </c>
      <c r="E171" s="32" t="str">
        <f aca="false">C170</f>
        <v>OPIInstructingAgentPartyIdentification</v>
      </c>
      <c r="G171" s="29" t="s">
        <v>702</v>
      </c>
    </row>
    <row r="172" customFormat="false" ht="35.05" hidden="false" customHeight="false" outlineLevel="0" collapsed="false">
      <c r="A172" s="29" t="s">
        <v>80</v>
      </c>
      <c r="B172" s="29" t="s">
        <v>218</v>
      </c>
      <c r="C172" s="29" t="str">
        <f aca="false">"OPI"&amp;G172&amp;B172</f>
        <v>OPIInstructingAgentPaymentPartyRole</v>
      </c>
      <c r="D172" s="29" t="s">
        <v>742</v>
      </c>
      <c r="E172" s="32" t="str">
        <f aca="false">C171&amp;", "&amp;C170&amp;", "&amp;$C$22</f>
        <v>OPIInstructingAgentPartyRoleAccount, OPIInstructingAgentPartyIdentification, OutboundPaymentInstruction</v>
      </c>
      <c r="G172" s="29" t="s">
        <v>702</v>
      </c>
      <c r="H172" s="22" t="str">
        <f aca="false">"{ ""PaymentRole"" : """&amp;G172&amp;""" }"</f>
        <v>{ "PaymentRole" : "InstructingAgent" }</v>
      </c>
    </row>
    <row r="173" customFormat="false" ht="12" hidden="false" customHeight="false" outlineLevel="0" collapsed="false">
      <c r="A173" s="29" t="s">
        <v>80</v>
      </c>
      <c r="B173" s="29" t="s">
        <v>73</v>
      </c>
      <c r="C173" s="29" t="str">
        <f aca="false">"OPI"&amp;G173&amp;B173</f>
        <v>OPIPreviousInstructingAgent1PostalAddress</v>
      </c>
      <c r="D173" s="29" t="s">
        <v>743</v>
      </c>
      <c r="E173" s="32"/>
      <c r="G173" s="29" t="s">
        <v>704</v>
      </c>
    </row>
    <row r="174" customFormat="false" ht="12" hidden="false" customHeight="false" outlineLevel="0" collapsed="false">
      <c r="A174" s="29" t="s">
        <v>80</v>
      </c>
      <c r="B174" s="29" t="s">
        <v>128</v>
      </c>
      <c r="C174" s="29" t="str">
        <f aca="false">"OPI"&amp;G174&amp;B174</f>
        <v>OPIPreviousInstructingAgent1PartyIdentification</v>
      </c>
      <c r="D174" s="29" t="s">
        <v>743</v>
      </c>
      <c r="E174" s="32" t="str">
        <f aca="false">C173</f>
        <v>OPIPreviousInstructingAgent1PostalAddress</v>
      </c>
      <c r="G174" s="29" t="s">
        <v>704</v>
      </c>
    </row>
    <row r="175" customFormat="false" ht="12" hidden="false" customHeight="false" outlineLevel="0" collapsed="false">
      <c r="A175" s="29" t="s">
        <v>80</v>
      </c>
      <c r="B175" s="29" t="s">
        <v>235</v>
      </c>
      <c r="C175" s="29" t="str">
        <f aca="false">"OPI"&amp;G175&amp;B175</f>
        <v>OPIPreviousInstructingAgent1PartyRoleAccount</v>
      </c>
      <c r="D175" s="29" t="s">
        <v>743</v>
      </c>
      <c r="E175" s="32" t="str">
        <f aca="false">C174</f>
        <v>OPIPreviousInstructingAgent1PartyIdentification</v>
      </c>
      <c r="G175" s="29" t="s">
        <v>704</v>
      </c>
    </row>
    <row r="176" customFormat="false" ht="35.05" hidden="false" customHeight="false" outlineLevel="0" collapsed="false">
      <c r="A176" s="29" t="s">
        <v>80</v>
      </c>
      <c r="B176" s="29" t="s">
        <v>218</v>
      </c>
      <c r="C176" s="29" t="str">
        <f aca="false">"OPI"&amp;G176&amp;B176</f>
        <v>OPIPreviousInstructingAgent1PaymentPartyRole</v>
      </c>
      <c r="D176" s="29" t="s">
        <v>743</v>
      </c>
      <c r="E176" s="32" t="str">
        <f aca="false">C175&amp;", "&amp;C174&amp;", "&amp;$C$22</f>
        <v>OPIPreviousInstructingAgent1PartyRoleAccount, OPIPreviousInstructingAgent1PartyIdentification, OutboundPaymentInstruction</v>
      </c>
      <c r="G176" s="29" t="s">
        <v>704</v>
      </c>
      <c r="H176" s="22" t="str">
        <f aca="false">"{ ""PaymentRole"" : """&amp;G176&amp;""" }"</f>
        <v>{ "PaymentRole" : "PreviousInstructingAgent1" }</v>
      </c>
    </row>
    <row r="177" customFormat="false" ht="12" hidden="false" customHeight="false" outlineLevel="0" collapsed="false">
      <c r="A177" s="29" t="s">
        <v>80</v>
      </c>
      <c r="B177" s="29" t="s">
        <v>73</v>
      </c>
      <c r="C177" s="29" t="str">
        <f aca="false">"OPI"&amp;G177&amp;B177</f>
        <v>OPIPreviousInstructingAgent2PostalAddress</v>
      </c>
      <c r="D177" s="29" t="s">
        <v>744</v>
      </c>
      <c r="E177" s="32"/>
      <c r="G177" s="29" t="s">
        <v>706</v>
      </c>
    </row>
    <row r="178" customFormat="false" ht="12" hidden="false" customHeight="false" outlineLevel="0" collapsed="false">
      <c r="A178" s="29" t="s">
        <v>80</v>
      </c>
      <c r="B178" s="29" t="s">
        <v>128</v>
      </c>
      <c r="C178" s="29" t="str">
        <f aca="false">"OPI"&amp;G178&amp;B178</f>
        <v>OPIPreviousInstructingAgent2PartyIdentification</v>
      </c>
      <c r="D178" s="29" t="s">
        <v>744</v>
      </c>
      <c r="E178" s="32" t="str">
        <f aca="false">C177</f>
        <v>OPIPreviousInstructingAgent2PostalAddress</v>
      </c>
      <c r="G178" s="29" t="s">
        <v>706</v>
      </c>
    </row>
    <row r="179" customFormat="false" ht="12" hidden="false" customHeight="false" outlineLevel="0" collapsed="false">
      <c r="A179" s="29" t="s">
        <v>80</v>
      </c>
      <c r="B179" s="29" t="s">
        <v>235</v>
      </c>
      <c r="C179" s="29" t="str">
        <f aca="false">"OPI"&amp;G179&amp;B179</f>
        <v>OPIPreviousInstructingAgent2PartyRoleAccount</v>
      </c>
      <c r="D179" s="29" t="s">
        <v>744</v>
      </c>
      <c r="E179" s="32" t="str">
        <f aca="false">C178</f>
        <v>OPIPreviousInstructingAgent2PartyIdentification</v>
      </c>
      <c r="G179" s="29" t="s">
        <v>706</v>
      </c>
    </row>
    <row r="180" customFormat="false" ht="35.05" hidden="false" customHeight="false" outlineLevel="0" collapsed="false">
      <c r="A180" s="29" t="s">
        <v>80</v>
      </c>
      <c r="B180" s="29" t="s">
        <v>218</v>
      </c>
      <c r="C180" s="29" t="str">
        <f aca="false">"OPI"&amp;G180&amp;B180</f>
        <v>OPIPreviousInstructingAgent2PaymentPartyRole</v>
      </c>
      <c r="D180" s="29" t="s">
        <v>744</v>
      </c>
      <c r="E180" s="32" t="str">
        <f aca="false">C179&amp;", "&amp;C178&amp;", "&amp;$C$22</f>
        <v>OPIPreviousInstructingAgent2PartyRoleAccount, OPIPreviousInstructingAgent2PartyIdentification, OutboundPaymentInstruction</v>
      </c>
      <c r="G180" s="29" t="s">
        <v>706</v>
      </c>
      <c r="H180" s="22" t="str">
        <f aca="false">"{ ""PaymentRole"" : """&amp;G180&amp;""" }"</f>
        <v>{ "PaymentRole" : "PreviousInstructingAgent2" }</v>
      </c>
    </row>
    <row r="181" customFormat="false" ht="12" hidden="false" customHeight="false" outlineLevel="0" collapsed="false">
      <c r="A181" s="29" t="s">
        <v>80</v>
      </c>
      <c r="B181" s="29" t="s">
        <v>73</v>
      </c>
      <c r="C181" s="29" t="str">
        <f aca="false">"OPI"&amp;G181&amp;B181</f>
        <v>OPIPreviousInstructingAgent3PostalAddress</v>
      </c>
      <c r="D181" s="29" t="s">
        <v>745</v>
      </c>
      <c r="E181" s="32"/>
      <c r="G181" s="29" t="s">
        <v>708</v>
      </c>
    </row>
    <row r="182" customFormat="false" ht="12" hidden="false" customHeight="false" outlineLevel="0" collapsed="false">
      <c r="A182" s="29" t="s">
        <v>80</v>
      </c>
      <c r="B182" s="29" t="s">
        <v>128</v>
      </c>
      <c r="C182" s="29" t="str">
        <f aca="false">"OPI"&amp;G182&amp;B182</f>
        <v>OPIPreviousInstructingAgent3PartyIdentification</v>
      </c>
      <c r="D182" s="29" t="s">
        <v>745</v>
      </c>
      <c r="E182" s="32" t="str">
        <f aca="false">C181</f>
        <v>OPIPreviousInstructingAgent3PostalAddress</v>
      </c>
      <c r="G182" s="29" t="s">
        <v>708</v>
      </c>
    </row>
    <row r="183" customFormat="false" ht="12" hidden="false" customHeight="false" outlineLevel="0" collapsed="false">
      <c r="A183" s="29" t="s">
        <v>80</v>
      </c>
      <c r="B183" s="29" t="s">
        <v>235</v>
      </c>
      <c r="C183" s="29" t="str">
        <f aca="false">"OPI"&amp;G183&amp;B183</f>
        <v>OPIPreviousInstructingAgent3PartyRoleAccount</v>
      </c>
      <c r="D183" s="29" t="s">
        <v>745</v>
      </c>
      <c r="E183" s="32" t="str">
        <f aca="false">C182</f>
        <v>OPIPreviousInstructingAgent3PartyIdentification</v>
      </c>
      <c r="G183" s="29" t="s">
        <v>708</v>
      </c>
    </row>
    <row r="184" customFormat="false" ht="35.05" hidden="false" customHeight="false" outlineLevel="0" collapsed="false">
      <c r="A184" s="29" t="s">
        <v>80</v>
      </c>
      <c r="B184" s="29" t="s">
        <v>218</v>
      </c>
      <c r="C184" s="29" t="str">
        <f aca="false">"OPI"&amp;G184&amp;B184</f>
        <v>OPIPreviousInstructingAgent3PaymentPartyRole</v>
      </c>
      <c r="D184" s="29" t="s">
        <v>745</v>
      </c>
      <c r="E184" s="32" t="str">
        <f aca="false">C183&amp;", "&amp;C182&amp;", "&amp;$C$22</f>
        <v>OPIPreviousInstructingAgent3PartyRoleAccount, OPIPreviousInstructingAgent3PartyIdentification, OutboundPaymentInstruction</v>
      </c>
      <c r="G184" s="29" t="s">
        <v>708</v>
      </c>
      <c r="H184" s="22" t="str">
        <f aca="false">"{ ""PaymentRole"" : """&amp;G184&amp;""" }"</f>
        <v>{ "PaymentRole" : "PreviousInstructingAgent3" }</v>
      </c>
    </row>
    <row r="185" customFormat="false" ht="12.65" hidden="false" customHeight="false" outlineLevel="0" collapsed="false">
      <c r="A185" s="29" t="s">
        <v>80</v>
      </c>
      <c r="B185" s="29" t="s">
        <v>73</v>
      </c>
      <c r="C185" s="29" t="str">
        <f aca="false">"OPI"&amp;G185&amp;B185</f>
        <v>OPIInstructingReimbursementAgentPostalAddress</v>
      </c>
      <c r="D185" s="29" t="s">
        <v>746</v>
      </c>
      <c r="E185" s="32"/>
      <c r="G185" s="29" t="s">
        <v>710</v>
      </c>
    </row>
    <row r="186" customFormat="false" ht="12.65" hidden="false" customHeight="false" outlineLevel="0" collapsed="false">
      <c r="A186" s="29" t="s">
        <v>80</v>
      </c>
      <c r="B186" s="29" t="s">
        <v>128</v>
      </c>
      <c r="C186" s="29" t="str">
        <f aca="false">"OPI"&amp;G186&amp;B186</f>
        <v>OPIInstructingReimbursementAgentPartyIdentification</v>
      </c>
      <c r="D186" s="29" t="s">
        <v>746</v>
      </c>
      <c r="E186" s="32" t="str">
        <f aca="false">C185</f>
        <v>OPIInstructingReimbursementAgentPostalAddress</v>
      </c>
      <c r="G186" s="29" t="s">
        <v>710</v>
      </c>
    </row>
    <row r="187" customFormat="false" ht="12.65" hidden="false" customHeight="false" outlineLevel="0" collapsed="false">
      <c r="A187" s="29" t="s">
        <v>80</v>
      </c>
      <c r="B187" s="29" t="s">
        <v>235</v>
      </c>
      <c r="C187" s="29" t="str">
        <f aca="false">"OPI"&amp;G187&amp;B187</f>
        <v>OPIInstructingReimbursementAgentPartyRoleAccount</v>
      </c>
      <c r="D187" s="29" t="s">
        <v>746</v>
      </c>
      <c r="E187" s="32" t="str">
        <f aca="false">C186</f>
        <v>OPIInstructingReimbursementAgentPartyIdentification</v>
      </c>
      <c r="G187" s="29" t="s">
        <v>710</v>
      </c>
    </row>
    <row r="188" customFormat="false" ht="46.25" hidden="false" customHeight="false" outlineLevel="0" collapsed="false">
      <c r="A188" s="29" t="s">
        <v>80</v>
      </c>
      <c r="B188" s="29" t="s">
        <v>218</v>
      </c>
      <c r="C188" s="29" t="str">
        <f aca="false">"OPI"&amp;G188&amp;B188</f>
        <v>OPIInstructingReimbursementAgentPaymentPartyRole</v>
      </c>
      <c r="D188" s="29" t="s">
        <v>746</v>
      </c>
      <c r="E188" s="32" t="str">
        <f aca="false">C187&amp;", "&amp;C186&amp;", "&amp;$C$22</f>
        <v>OPIInstructingReimbursementAgentPartyRoleAccount, OPIInstructingReimbursementAgentPartyIdentification, OutboundPaymentInstruction</v>
      </c>
      <c r="G188" s="29" t="s">
        <v>710</v>
      </c>
      <c r="H188" s="22" t="str">
        <f aca="false">"{ ""PaymentRole"" : """&amp;G188&amp;""" }"</f>
        <v>{ "PaymentRole" : "InstructingReimbursementAgent" }</v>
      </c>
    </row>
    <row r="189" customFormat="false" ht="12" hidden="false" customHeight="false" outlineLevel="0" collapsed="false">
      <c r="A189" s="29" t="s">
        <v>80</v>
      </c>
      <c r="B189" s="29" t="s">
        <v>73</v>
      </c>
      <c r="C189" s="29" t="str">
        <f aca="false">"OPI"&amp;G189&amp;B189</f>
        <v>OPIInstructedReimbursementAgentPostalAddress</v>
      </c>
      <c r="D189" s="29" t="s">
        <v>747</v>
      </c>
      <c r="E189" s="32"/>
      <c r="G189" s="29" t="s">
        <v>712</v>
      </c>
    </row>
    <row r="190" customFormat="false" ht="12" hidden="false" customHeight="false" outlineLevel="0" collapsed="false">
      <c r="A190" s="29" t="s">
        <v>80</v>
      </c>
      <c r="B190" s="29" t="s">
        <v>128</v>
      </c>
      <c r="C190" s="29" t="str">
        <f aca="false">"OPI"&amp;G190&amp;B190</f>
        <v>OPIInstructedReimbursementAgentPartyIdentification</v>
      </c>
      <c r="D190" s="29" t="s">
        <v>747</v>
      </c>
      <c r="E190" s="32" t="str">
        <f aca="false">C189</f>
        <v>OPIInstructedReimbursementAgentPostalAddress</v>
      </c>
      <c r="G190" s="29" t="s">
        <v>712</v>
      </c>
    </row>
    <row r="191" customFormat="false" ht="12" hidden="false" customHeight="false" outlineLevel="0" collapsed="false">
      <c r="A191" s="29" t="s">
        <v>80</v>
      </c>
      <c r="B191" s="29" t="s">
        <v>235</v>
      </c>
      <c r="C191" s="29" t="str">
        <f aca="false">"OPI"&amp;G191&amp;B191</f>
        <v>OPIInstructedReimbursementAgentPartyRoleAccount</v>
      </c>
      <c r="D191" s="29" t="s">
        <v>747</v>
      </c>
      <c r="E191" s="32" t="str">
        <f aca="false">C190</f>
        <v>OPIInstructedReimbursementAgentPartyIdentification</v>
      </c>
      <c r="G191" s="29" t="s">
        <v>712</v>
      </c>
    </row>
    <row r="192" customFormat="false" ht="35.05" hidden="false" customHeight="false" outlineLevel="0" collapsed="false">
      <c r="A192" s="29" t="s">
        <v>80</v>
      </c>
      <c r="B192" s="29" t="s">
        <v>218</v>
      </c>
      <c r="C192" s="29" t="str">
        <f aca="false">"OPI"&amp;G192&amp;B192</f>
        <v>OPIInstructedReimbursementAgentPaymentPartyRole</v>
      </c>
      <c r="D192" s="29" t="s">
        <v>747</v>
      </c>
      <c r="E192" s="32" t="str">
        <f aca="false">C191&amp;", "&amp;C190&amp;", "&amp;$C$22</f>
        <v>OPIInstructedReimbursementAgentPartyRoleAccount, OPIInstructedReimbursementAgentPartyIdentification, OutboundPaymentInstruction</v>
      </c>
      <c r="G192" s="29" t="s">
        <v>712</v>
      </c>
      <c r="H192" s="22" t="str">
        <f aca="false">"{ ""PaymentRole"" : """&amp;G192&amp;""" }"</f>
        <v>{ "PaymentRole" : "InstructedReimbursementAgent" }</v>
      </c>
    </row>
    <row r="193" customFormat="false" ht="12" hidden="false" customHeight="false" outlineLevel="0" collapsed="false">
      <c r="A193" s="29" t="s">
        <v>80</v>
      </c>
      <c r="B193" s="29" t="s">
        <v>73</v>
      </c>
      <c r="C193" s="29" t="str">
        <f aca="false">"OPI"&amp;G193&amp;B193</f>
        <v>OPIThirdReimbursementAgentPostalAddress</v>
      </c>
      <c r="D193" s="29" t="s">
        <v>748</v>
      </c>
      <c r="E193" s="32"/>
      <c r="G193" s="29" t="s">
        <v>714</v>
      </c>
    </row>
    <row r="194" customFormat="false" ht="12" hidden="false" customHeight="false" outlineLevel="0" collapsed="false">
      <c r="A194" s="29" t="s">
        <v>80</v>
      </c>
      <c r="B194" s="29" t="s">
        <v>128</v>
      </c>
      <c r="C194" s="29" t="str">
        <f aca="false">"OPI"&amp;G194&amp;B194</f>
        <v>OPIThirdReimbursementAgentPartyIdentification</v>
      </c>
      <c r="D194" s="29" t="s">
        <v>748</v>
      </c>
      <c r="E194" s="32" t="str">
        <f aca="false">C193</f>
        <v>OPIThirdReimbursementAgentPostalAddress</v>
      </c>
      <c r="G194" s="29" t="s">
        <v>714</v>
      </c>
    </row>
    <row r="195" customFormat="false" ht="12" hidden="false" customHeight="false" outlineLevel="0" collapsed="false">
      <c r="A195" s="29" t="s">
        <v>80</v>
      </c>
      <c r="B195" s="29" t="s">
        <v>235</v>
      </c>
      <c r="C195" s="29" t="str">
        <f aca="false">"OPI"&amp;G195&amp;B195</f>
        <v>OPIThirdReimbursementAgentPartyRoleAccount</v>
      </c>
      <c r="D195" s="29" t="s">
        <v>748</v>
      </c>
      <c r="E195" s="32" t="str">
        <f aca="false">C194</f>
        <v>OPIThirdReimbursementAgentPartyIdentification</v>
      </c>
      <c r="G195" s="29" t="s">
        <v>714</v>
      </c>
    </row>
    <row r="196" customFormat="false" ht="35.05" hidden="false" customHeight="false" outlineLevel="0" collapsed="false">
      <c r="A196" s="29" t="s">
        <v>80</v>
      </c>
      <c r="B196" s="29" t="s">
        <v>218</v>
      </c>
      <c r="C196" s="29" t="str">
        <f aca="false">"OPI"&amp;G196&amp;B196</f>
        <v>OPIThirdReimbursementAgentPaymentPartyRole</v>
      </c>
      <c r="D196" s="29" t="s">
        <v>748</v>
      </c>
      <c r="E196" s="32" t="str">
        <f aca="false">C195&amp;", "&amp;C194&amp;", "&amp;$C$22</f>
        <v>OPIThirdReimbursementAgentPartyRoleAccount, OPIThirdReimbursementAgentPartyIdentification, OutboundPaymentInstruction</v>
      </c>
      <c r="G196" s="29" t="s">
        <v>714</v>
      </c>
      <c r="H196" s="22" t="str">
        <f aca="false">"{ ""PaymentRole"" : """&amp;G196&amp;""" }"</f>
        <v>{ "PaymentRole" : "ThirdReimbursementAgent" }</v>
      </c>
    </row>
    <row r="197" customFormat="false" ht="12" hidden="false" customHeight="false" outlineLevel="0" collapsed="false">
      <c r="A197" s="29" t="s">
        <v>80</v>
      </c>
      <c r="B197" s="29" t="s">
        <v>73</v>
      </c>
      <c r="C197" s="29" t="str">
        <f aca="false">"OPI"&amp;G197&amp;B197</f>
        <v>OPIChargesAgentPostalAddress</v>
      </c>
      <c r="D197" s="29" t="s">
        <v>749</v>
      </c>
      <c r="E197" s="32"/>
      <c r="G197" s="29" t="s">
        <v>716</v>
      </c>
    </row>
    <row r="198" customFormat="false" ht="12" hidden="false" customHeight="false" outlineLevel="0" collapsed="false">
      <c r="A198" s="29" t="s">
        <v>80</v>
      </c>
      <c r="B198" s="29" t="s">
        <v>128</v>
      </c>
      <c r="C198" s="29" t="str">
        <f aca="false">"OPI"&amp;G198&amp;B198</f>
        <v>OPIChargesAgentPartyIdentification</v>
      </c>
      <c r="D198" s="29" t="s">
        <v>749</v>
      </c>
      <c r="E198" s="32" t="str">
        <f aca="false">C197</f>
        <v>OPIChargesAgentPostalAddress</v>
      </c>
      <c r="G198" s="29" t="s">
        <v>716</v>
      </c>
    </row>
    <row r="199" customFormat="false" ht="12" hidden="false" customHeight="false" outlineLevel="0" collapsed="false">
      <c r="A199" s="29" t="s">
        <v>80</v>
      </c>
      <c r="B199" s="29" t="s">
        <v>235</v>
      </c>
      <c r="C199" s="29" t="str">
        <f aca="false">"OPI"&amp;G199&amp;B199</f>
        <v>OPIChargesAgentPartyRoleAccount</v>
      </c>
      <c r="D199" s="29" t="s">
        <v>749</v>
      </c>
      <c r="E199" s="32" t="str">
        <f aca="false">C198</f>
        <v>OPIChargesAgentPartyIdentification</v>
      </c>
      <c r="G199" s="29" t="s">
        <v>716</v>
      </c>
    </row>
    <row r="200" customFormat="false" ht="48.75" hidden="false" customHeight="true" outlineLevel="0" collapsed="false">
      <c r="A200" s="29" t="s">
        <v>80</v>
      </c>
      <c r="B200" s="29" t="s">
        <v>218</v>
      </c>
      <c r="C200" s="29" t="str">
        <f aca="false">"OPI"&amp;G200&amp;B200</f>
        <v>OPIChargesAgentPaymentPartyRole</v>
      </c>
      <c r="D200" s="29" t="s">
        <v>749</v>
      </c>
      <c r="E200" s="32" t="str">
        <f aca="false">C199&amp;", "&amp;C198&amp;", "&amp;$C$22</f>
        <v>OPIChargesAgentPartyRoleAccount, OPIChargesAgentPartyIdentification, OutboundPaymentInstruction</v>
      </c>
      <c r="G200" s="29" t="s">
        <v>716</v>
      </c>
      <c r="H200" s="22" t="str">
        <f aca="false">"{ ""PaymentRole"" : """&amp;G200&amp;""" }"</f>
        <v>{ "PaymentRole" : "ChargesAgent" }</v>
      </c>
    </row>
    <row r="201" customFormat="false" ht="12" hidden="false" customHeight="false" outlineLevel="0" collapsed="false">
      <c r="A201" s="29" t="s">
        <v>80</v>
      </c>
      <c r="B201" s="29" t="s">
        <v>358</v>
      </c>
      <c r="C201" s="29" t="str">
        <f aca="false">"&lt;"&amp;"OPI"&amp;G201&amp;B201&amp;"&gt;"</f>
        <v>&lt;OPIPointer to the appropriate PaymentPartyRole, depending on what's referenced in the instructionPaymentPartyRoleInstruction&gt;</v>
      </c>
      <c r="D201" s="29" t="s">
        <v>358</v>
      </c>
      <c r="E201" s="32" t="str">
        <f aca="false">C22&amp;", &lt;PaymentPartyRole&gt;"</f>
        <v>OutboundPaymentInstruction, &lt;PaymentPartyRole&gt;</v>
      </c>
      <c r="G201" s="29" t="s">
        <v>718</v>
      </c>
    </row>
    <row r="202" customFormat="false" ht="12" hidden="false" customHeight="false" outlineLevel="0" collapsed="false">
      <c r="A202" s="29" t="s">
        <v>80</v>
      </c>
      <c r="B202" s="29" t="s">
        <v>605</v>
      </c>
      <c r="C202" s="29" t="s">
        <v>605</v>
      </c>
      <c r="D202" s="29" t="s">
        <v>605</v>
      </c>
    </row>
    <row r="203" customFormat="false" ht="12" hidden="false" customHeight="false" outlineLevel="0" collapsed="false">
      <c r="A203" s="29" t="s">
        <v>79</v>
      </c>
      <c r="B203" s="29" t="s">
        <v>275</v>
      </c>
      <c r="C203" s="29" t="s">
        <v>275</v>
      </c>
      <c r="D203" s="29" t="s">
        <v>750</v>
      </c>
    </row>
    <row r="204" customFormat="false" ht="12" hidden="false" customHeight="false" outlineLevel="0" collapsed="false">
      <c r="A204" s="29" t="s">
        <v>79</v>
      </c>
      <c r="B204" s="29" t="s">
        <v>267</v>
      </c>
      <c r="C204" s="29" t="s">
        <v>267</v>
      </c>
      <c r="D204" s="29" t="s">
        <v>750</v>
      </c>
    </row>
    <row r="205" customFormat="false" ht="12" hidden="false" customHeight="false" outlineLevel="0" collapsed="false">
      <c r="A205" s="29" t="s">
        <v>79</v>
      </c>
      <c r="B205" s="29" t="s">
        <v>209</v>
      </c>
      <c r="C205" s="29" t="s">
        <v>209</v>
      </c>
      <c r="D205" s="29" t="s">
        <v>750</v>
      </c>
    </row>
    <row r="206" customFormat="false" ht="12" hidden="false" customHeight="false" outlineLevel="0" collapsed="false">
      <c r="A206" s="29" t="s">
        <v>79</v>
      </c>
      <c r="B206" s="29" t="s">
        <v>63</v>
      </c>
      <c r="C206" s="29" t="s">
        <v>63</v>
      </c>
      <c r="D206" s="29" t="s">
        <v>750</v>
      </c>
    </row>
    <row r="207" customFormat="false" ht="12" hidden="false" customHeight="false" outlineLevel="0" collapsed="false">
      <c r="A207" s="29" t="s">
        <v>79</v>
      </c>
      <c r="B207" s="29" t="s">
        <v>264</v>
      </c>
      <c r="C207" s="29" t="s">
        <v>264</v>
      </c>
      <c r="D207" s="29" t="s">
        <v>750</v>
      </c>
    </row>
    <row r="208" customFormat="false" ht="12" hidden="false" customHeight="false" outlineLevel="0" collapsed="false">
      <c r="A208" s="29" t="s">
        <v>79</v>
      </c>
      <c r="B208" s="29" t="s">
        <v>598</v>
      </c>
      <c r="C208" s="29" t="s">
        <v>598</v>
      </c>
      <c r="D208" s="29" t="s">
        <v>750</v>
      </c>
    </row>
    <row r="209" customFormat="false" ht="12" hidden="false" customHeight="false" outlineLevel="0" collapsed="false">
      <c r="B209" s="29"/>
      <c r="C209" s="29"/>
    </row>
  </sheetData>
  <autoFilter ref="A1:I208"/>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5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C26" activeCellId="0" sqref="C26"/>
    </sheetView>
  </sheetViews>
  <sheetFormatPr defaultColWidth="8.6796875" defaultRowHeight="12" zeroHeight="false" outlineLevelRow="0" outlineLevelCol="0"/>
  <cols>
    <col collapsed="false" customWidth="true" hidden="false" outlineLevel="0" max="3" min="3" style="22" width="19.09"/>
  </cols>
  <sheetData>
    <row r="1" customFormat="false" ht="12" hidden="false" customHeight="false" outlineLevel="0" collapsed="false">
      <c r="A1" s="22" t="s">
        <v>680</v>
      </c>
    </row>
    <row r="2" customFormat="false" ht="12" hidden="false" customHeight="false" outlineLevel="0" collapsed="false">
      <c r="A2" s="22" t="s">
        <v>680</v>
      </c>
    </row>
    <row r="3" customFormat="false" ht="12" hidden="false" customHeight="false" outlineLevel="0" collapsed="false">
      <c r="A3" s="22" t="s">
        <v>680</v>
      </c>
      <c r="C3" s="22" t="s">
        <v>680</v>
      </c>
    </row>
    <row r="4" customFormat="false" ht="12" hidden="false" customHeight="false" outlineLevel="0" collapsed="false">
      <c r="A4" s="22" t="s">
        <v>680</v>
      </c>
      <c r="C4" s="22" t="s">
        <v>682</v>
      </c>
    </row>
    <row r="5" customFormat="false" ht="12" hidden="false" customHeight="false" outlineLevel="0" collapsed="false">
      <c r="C5" s="22" t="s">
        <v>684</v>
      </c>
    </row>
    <row r="6" customFormat="false" ht="12" hidden="false" customHeight="false" outlineLevel="0" collapsed="false">
      <c r="A6" s="22" t="s">
        <v>682</v>
      </c>
      <c r="C6" s="22" t="s">
        <v>686</v>
      </c>
    </row>
    <row r="7" customFormat="false" ht="12" hidden="false" customHeight="false" outlineLevel="0" collapsed="false">
      <c r="A7" s="22" t="s">
        <v>682</v>
      </c>
      <c r="C7" s="22" t="s">
        <v>688</v>
      </c>
    </row>
    <row r="8" customFormat="false" ht="12" hidden="false" customHeight="false" outlineLevel="0" collapsed="false">
      <c r="A8" s="22" t="s">
        <v>682</v>
      </c>
      <c r="C8" s="22" t="s">
        <v>690</v>
      </c>
    </row>
    <row r="9" customFormat="false" ht="12" hidden="false" customHeight="false" outlineLevel="0" collapsed="false">
      <c r="A9" s="22" t="s">
        <v>682</v>
      </c>
      <c r="C9" s="22" t="s">
        <v>692</v>
      </c>
    </row>
    <row r="10" customFormat="false" ht="12" hidden="false" customHeight="false" outlineLevel="0" collapsed="false">
      <c r="C10" s="22" t="s">
        <v>694</v>
      </c>
    </row>
    <row r="11" customFormat="false" ht="12" hidden="false" customHeight="false" outlineLevel="0" collapsed="false">
      <c r="A11" s="22" t="s">
        <v>684</v>
      </c>
      <c r="C11" s="22" t="s">
        <v>696</v>
      </c>
    </row>
    <row r="12" customFormat="false" ht="12" hidden="false" customHeight="false" outlineLevel="0" collapsed="false">
      <c r="A12" s="22" t="s">
        <v>684</v>
      </c>
      <c r="C12" s="22" t="s">
        <v>698</v>
      </c>
    </row>
    <row r="13" customFormat="false" ht="12" hidden="false" customHeight="false" outlineLevel="0" collapsed="false">
      <c r="A13" s="22" t="s">
        <v>684</v>
      </c>
      <c r="C13" s="22" t="s">
        <v>700</v>
      </c>
    </row>
    <row r="14" customFormat="false" ht="12" hidden="false" customHeight="false" outlineLevel="0" collapsed="false">
      <c r="A14" s="22" t="s">
        <v>684</v>
      </c>
      <c r="C14" s="22" t="s">
        <v>702</v>
      </c>
    </row>
    <row r="16" customFormat="false" ht="12" hidden="false" customHeight="false" outlineLevel="0" collapsed="false">
      <c r="A16" s="22" t="s">
        <v>686</v>
      </c>
    </row>
    <row r="17" customFormat="false" ht="12" hidden="false" customHeight="false" outlineLevel="0" collapsed="false">
      <c r="A17" s="22" t="s">
        <v>686</v>
      </c>
    </row>
    <row r="18" customFormat="false" ht="12" hidden="false" customHeight="false" outlineLevel="0" collapsed="false">
      <c r="A18" s="22" t="s">
        <v>686</v>
      </c>
    </row>
    <row r="19" customFormat="false" ht="12" hidden="false" customHeight="false" outlineLevel="0" collapsed="false">
      <c r="A19" s="22" t="s">
        <v>686</v>
      </c>
    </row>
    <row r="21" customFormat="false" ht="12" hidden="false" customHeight="false" outlineLevel="0" collapsed="false">
      <c r="A21" s="22" t="s">
        <v>688</v>
      </c>
    </row>
    <row r="22" customFormat="false" ht="12" hidden="false" customHeight="false" outlineLevel="0" collapsed="false">
      <c r="A22" s="22" t="s">
        <v>688</v>
      </c>
    </row>
    <row r="23" customFormat="false" ht="12" hidden="false" customHeight="false" outlineLevel="0" collapsed="false">
      <c r="A23" s="22" t="s">
        <v>688</v>
      </c>
    </row>
    <row r="24" customFormat="false" ht="12" hidden="false" customHeight="false" outlineLevel="0" collapsed="false">
      <c r="A24" s="22" t="s">
        <v>688</v>
      </c>
    </row>
    <row r="26" customFormat="false" ht="12" hidden="false" customHeight="false" outlineLevel="0" collapsed="false">
      <c r="A26" s="22" t="s">
        <v>690</v>
      </c>
    </row>
    <row r="27" customFormat="false" ht="12" hidden="false" customHeight="false" outlineLevel="0" collapsed="false">
      <c r="A27" s="22" t="s">
        <v>690</v>
      </c>
    </row>
    <row r="28" customFormat="false" ht="12" hidden="false" customHeight="false" outlineLevel="0" collapsed="false">
      <c r="A28" s="22" t="s">
        <v>690</v>
      </c>
    </row>
    <row r="29" customFormat="false" ht="12" hidden="false" customHeight="false" outlineLevel="0" collapsed="false">
      <c r="A29" s="22" t="s">
        <v>690</v>
      </c>
    </row>
    <row r="31" customFormat="false" ht="12" hidden="false" customHeight="false" outlineLevel="0" collapsed="false">
      <c r="A31" s="22" t="s">
        <v>692</v>
      </c>
    </row>
    <row r="32" customFormat="false" ht="12" hidden="false" customHeight="false" outlineLevel="0" collapsed="false">
      <c r="A32" s="22" t="s">
        <v>692</v>
      </c>
    </row>
    <row r="33" customFormat="false" ht="12" hidden="false" customHeight="false" outlineLevel="0" collapsed="false">
      <c r="A33" s="22" t="s">
        <v>692</v>
      </c>
    </row>
    <row r="34" customFormat="false" ht="12" hidden="false" customHeight="false" outlineLevel="0" collapsed="false">
      <c r="A34" s="22" t="s">
        <v>692</v>
      </c>
    </row>
    <row r="36" customFormat="false" ht="12" hidden="false" customHeight="false" outlineLevel="0" collapsed="false">
      <c r="A36" s="22" t="s">
        <v>694</v>
      </c>
    </row>
    <row r="37" customFormat="false" ht="12" hidden="false" customHeight="false" outlineLevel="0" collapsed="false">
      <c r="A37" s="22" t="s">
        <v>694</v>
      </c>
    </row>
    <row r="38" customFormat="false" ht="12" hidden="false" customHeight="false" outlineLevel="0" collapsed="false">
      <c r="A38" s="22" t="s">
        <v>694</v>
      </c>
    </row>
    <row r="39" customFormat="false" ht="12" hidden="false" customHeight="false" outlineLevel="0" collapsed="false">
      <c r="A39" s="22" t="s">
        <v>694</v>
      </c>
    </row>
    <row r="41" customFormat="false" ht="12" hidden="false" customHeight="false" outlineLevel="0" collapsed="false">
      <c r="A41" s="22" t="s">
        <v>696</v>
      </c>
    </row>
    <row r="42" customFormat="false" ht="12" hidden="false" customHeight="false" outlineLevel="0" collapsed="false">
      <c r="A42" s="22" t="s">
        <v>696</v>
      </c>
    </row>
    <row r="43" customFormat="false" ht="12" hidden="false" customHeight="false" outlineLevel="0" collapsed="false">
      <c r="A43" s="22" t="s">
        <v>696</v>
      </c>
    </row>
    <row r="44" customFormat="false" ht="12" hidden="false" customHeight="false" outlineLevel="0" collapsed="false">
      <c r="A44" s="22" t="s">
        <v>696</v>
      </c>
    </row>
    <row r="46" customFormat="false" ht="12" hidden="false" customHeight="false" outlineLevel="0" collapsed="false">
      <c r="A46" s="22" t="s">
        <v>698</v>
      </c>
    </row>
    <row r="47" customFormat="false" ht="12" hidden="false" customHeight="false" outlineLevel="0" collapsed="false">
      <c r="A47" s="22" t="s">
        <v>698</v>
      </c>
    </row>
    <row r="48" customFormat="false" ht="12" hidden="false" customHeight="false" outlineLevel="0" collapsed="false">
      <c r="A48" s="22" t="s">
        <v>698</v>
      </c>
    </row>
    <row r="49" customFormat="false" ht="12" hidden="false" customHeight="false" outlineLevel="0" collapsed="false">
      <c r="A49" s="22" t="s">
        <v>698</v>
      </c>
    </row>
    <row r="51" customFormat="false" ht="12" hidden="false" customHeight="false" outlineLevel="0" collapsed="false">
      <c r="A51" s="22" t="s">
        <v>700</v>
      </c>
    </row>
    <row r="52" customFormat="false" ht="12" hidden="false" customHeight="false" outlineLevel="0" collapsed="false">
      <c r="A52" s="22" t="s">
        <v>700</v>
      </c>
    </row>
    <row r="53" customFormat="false" ht="12" hidden="false" customHeight="false" outlineLevel="0" collapsed="false">
      <c r="A53" s="22" t="s">
        <v>700</v>
      </c>
    </row>
    <row r="54" customFormat="false" ht="12" hidden="false" customHeight="false" outlineLevel="0" collapsed="false">
      <c r="A54" s="22" t="s">
        <v>700</v>
      </c>
    </row>
    <row r="56" customFormat="false" ht="12" hidden="false" customHeight="false" outlineLevel="0" collapsed="false">
      <c r="A56" s="22" t="s">
        <v>702</v>
      </c>
    </row>
    <row r="57" customFormat="false" ht="12" hidden="false" customHeight="false" outlineLevel="0" collapsed="false">
      <c r="A57" s="22" t="s">
        <v>702</v>
      </c>
    </row>
    <row r="58" customFormat="false" ht="12" hidden="false" customHeight="false" outlineLevel="0" collapsed="false">
      <c r="A58" s="22" t="s">
        <v>702</v>
      </c>
    </row>
    <row r="59" customFormat="false" ht="12" hidden="false" customHeight="false" outlineLevel="0" collapsed="false">
      <c r="A59" s="22" t="s">
        <v>702</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H4" activeCellId="0" sqref="H4"/>
    </sheetView>
  </sheetViews>
  <sheetFormatPr defaultColWidth="11.53515625" defaultRowHeight="12.8" zeroHeight="false" outlineLevelRow="0" outlineLevelCol="0"/>
  <cols>
    <col collapsed="false" customWidth="true" hidden="false" outlineLevel="0" max="1" min="1" style="22" width="19.89"/>
    <col collapsed="false" customWidth="true" hidden="false" outlineLevel="0" max="3" min="3" style="22" width="14.33"/>
    <col collapsed="false" customWidth="true" hidden="false" outlineLevel="0" max="4" min="4" style="22" width="18.49"/>
  </cols>
  <sheetData>
    <row r="1" customFormat="false" ht="12.8" hidden="false" customHeight="false" outlineLevel="0" collapsed="false">
      <c r="A1" s="14" t="s">
        <v>751</v>
      </c>
      <c r="B1" s="14" t="s">
        <v>752</v>
      </c>
      <c r="C1" s="14" t="s">
        <v>753</v>
      </c>
      <c r="D1" s="14" t="s">
        <v>754</v>
      </c>
    </row>
    <row r="2" customFormat="false" ht="12.8" hidden="false" customHeight="false" outlineLevel="0" collapsed="false">
      <c r="A2" s="22" t="s">
        <v>755</v>
      </c>
      <c r="B2" s="22" t="s">
        <v>756</v>
      </c>
      <c r="C2" s="22" t="s">
        <v>756</v>
      </c>
    </row>
    <row r="3" customFormat="false" ht="12.8" hidden="false" customHeight="false" outlineLevel="0" collapsed="false">
      <c r="A3" s="22" t="s">
        <v>755</v>
      </c>
      <c r="B3" s="22" t="s">
        <v>757</v>
      </c>
      <c r="C3" s="22" t="s">
        <v>757</v>
      </c>
      <c r="D3" s="22" t="s">
        <v>756</v>
      </c>
    </row>
    <row r="4" customFormat="false" ht="12.8" hidden="false" customHeight="false" outlineLevel="0" collapsed="false">
      <c r="A4" s="22" t="s">
        <v>755</v>
      </c>
      <c r="B4" s="22" t="s">
        <v>758</v>
      </c>
      <c r="C4" s="22" t="s">
        <v>758</v>
      </c>
      <c r="D4" s="22" t="s">
        <v>756</v>
      </c>
    </row>
    <row r="5" customFormat="false" ht="12.8" hidden="false" customHeight="false" outlineLevel="0" collapsed="false">
      <c r="A5" s="22" t="s">
        <v>755</v>
      </c>
      <c r="B5" s="22" t="s">
        <v>759</v>
      </c>
      <c r="C5" s="22" t="s">
        <v>759</v>
      </c>
      <c r="D5" s="22" t="s">
        <v>756</v>
      </c>
    </row>
    <row r="6" customFormat="false" ht="12.8" hidden="false" customHeight="false" outlineLevel="0" collapsed="false">
      <c r="A6" s="22" t="s">
        <v>755</v>
      </c>
      <c r="B6" s="22" t="s">
        <v>85</v>
      </c>
      <c r="C6" s="22" t="s">
        <v>85</v>
      </c>
      <c r="D6" s="22" t="s">
        <v>756</v>
      </c>
    </row>
    <row r="7" customFormat="false" ht="12.8" hidden="false" customHeight="false" outlineLevel="0" collapsed="false">
      <c r="A7" s="22" t="s">
        <v>755</v>
      </c>
      <c r="B7" s="22" t="s">
        <v>206</v>
      </c>
      <c r="C7" s="22" t="s">
        <v>206</v>
      </c>
      <c r="D7" s="22" t="s">
        <v>756</v>
      </c>
    </row>
    <row r="8" customFormat="false" ht="12.8" hidden="false" customHeight="false" outlineLevel="0" collapsed="false">
      <c r="A8" s="22" t="s">
        <v>755</v>
      </c>
      <c r="B8" s="22" t="s">
        <v>203</v>
      </c>
      <c r="C8" s="22" t="s">
        <v>203</v>
      </c>
      <c r="D8" s="22" t="s">
        <v>759</v>
      </c>
    </row>
    <row r="9" customFormat="false" ht="12.8" hidden="false" customHeight="false" outlineLevel="0" collapsed="false">
      <c r="A9" s="22" t="s">
        <v>755</v>
      </c>
      <c r="B9" s="22" t="s">
        <v>328</v>
      </c>
      <c r="C9" s="22" t="s">
        <v>328</v>
      </c>
      <c r="D9" s="22" t="s">
        <v>759</v>
      </c>
    </row>
    <row r="10" customFormat="false" ht="12.8" hidden="false" customHeight="false" outlineLevel="0" collapsed="false">
      <c r="A10" s="22" t="s">
        <v>755</v>
      </c>
      <c r="B10" s="22" t="s">
        <v>312</v>
      </c>
      <c r="C10" s="22" t="s">
        <v>312</v>
      </c>
      <c r="D10" s="22" t="s">
        <v>759</v>
      </c>
    </row>
    <row r="11" customFormat="false" ht="12.8" hidden="false" customHeight="false" outlineLevel="0" collapsed="false">
      <c r="A11" s="22" t="s">
        <v>755</v>
      </c>
      <c r="B11" s="22" t="s">
        <v>149</v>
      </c>
      <c r="C11" s="22" t="s">
        <v>149</v>
      </c>
      <c r="D11" s="22" t="s">
        <v>758</v>
      </c>
    </row>
    <row r="12" customFormat="false" ht="12.8" hidden="false" customHeight="false" outlineLevel="0" collapsed="false">
      <c r="A12" s="22" t="s">
        <v>755</v>
      </c>
      <c r="B12" s="22" t="s">
        <v>760</v>
      </c>
      <c r="C12" s="22" t="s">
        <v>760</v>
      </c>
      <c r="D12" s="22" t="s">
        <v>758</v>
      </c>
    </row>
    <row r="13" customFormat="false" ht="12.8" hidden="false" customHeight="false" outlineLevel="0" collapsed="false">
      <c r="A13" s="22" t="s">
        <v>755</v>
      </c>
      <c r="B13" s="22" t="s">
        <v>761</v>
      </c>
      <c r="C13" s="22" t="s">
        <v>761</v>
      </c>
      <c r="D13" s="22" t="s">
        <v>758</v>
      </c>
    </row>
    <row r="14" customFormat="false" ht="12.8" hidden="false" customHeight="false" outlineLevel="0" collapsed="false">
      <c r="A14" s="22" t="s">
        <v>755</v>
      </c>
      <c r="B14" s="22" t="s">
        <v>762</v>
      </c>
      <c r="C14" s="22" t="s">
        <v>762</v>
      </c>
      <c r="D14" s="22" t="s">
        <v>758</v>
      </c>
    </row>
    <row r="15" customFormat="false" ht="12.8" hidden="false" customHeight="false" outlineLevel="0" collapsed="false">
      <c r="A15" s="22" t="s">
        <v>755</v>
      </c>
      <c r="B15" s="22" t="s">
        <v>763</v>
      </c>
      <c r="C15" s="22" t="s">
        <v>763</v>
      </c>
      <c r="D15" s="22" t="s">
        <v>758</v>
      </c>
    </row>
    <row r="16" customFormat="false" ht="12.8" hidden="false" customHeight="false" outlineLevel="0" collapsed="false">
      <c r="A16" s="22" t="s">
        <v>755</v>
      </c>
      <c r="B16" s="22" t="s">
        <v>78</v>
      </c>
      <c r="C16" s="22" t="s">
        <v>78</v>
      </c>
      <c r="D16" s="22" t="s">
        <v>85</v>
      </c>
    </row>
    <row r="17" customFormat="false" ht="12.8" hidden="false" customHeight="false" outlineLevel="0" collapsed="false">
      <c r="A17" s="22" t="s">
        <v>755</v>
      </c>
      <c r="B17" s="22" t="s">
        <v>131</v>
      </c>
      <c r="C17" s="22" t="s">
        <v>131</v>
      </c>
      <c r="D17" s="22" t="s">
        <v>85</v>
      </c>
    </row>
    <row r="18" customFormat="false" ht="12.8" hidden="false" customHeight="false" outlineLevel="0" collapsed="false">
      <c r="A18" s="22" t="s">
        <v>755</v>
      </c>
      <c r="B18" s="22" t="s">
        <v>764</v>
      </c>
      <c r="C18" s="22" t="s">
        <v>764</v>
      </c>
      <c r="D18" s="22" t="s">
        <v>85</v>
      </c>
    </row>
    <row r="19" customFormat="false" ht="12.8" hidden="false" customHeight="false" outlineLevel="0" collapsed="false">
      <c r="A19" s="22" t="s">
        <v>755</v>
      </c>
      <c r="B19" s="22" t="s">
        <v>610</v>
      </c>
      <c r="C19" s="22" t="s">
        <v>610</v>
      </c>
      <c r="D19" s="22" t="s">
        <v>85</v>
      </c>
    </row>
    <row r="20" customFormat="false" ht="12.8" hidden="false" customHeight="false" outlineLevel="0" collapsed="false">
      <c r="A20" s="22" t="s">
        <v>755</v>
      </c>
      <c r="B20" s="22" t="s">
        <v>765</v>
      </c>
      <c r="C20" s="22" t="s">
        <v>766</v>
      </c>
      <c r="D20" s="22" t="s">
        <v>85</v>
      </c>
    </row>
    <row r="21" customFormat="false" ht="12.8" hidden="false" customHeight="false" outlineLevel="0" collapsed="false">
      <c r="A21" s="22" t="s">
        <v>755</v>
      </c>
      <c r="B21" s="22" t="s">
        <v>767</v>
      </c>
      <c r="C21" s="22" t="s">
        <v>767</v>
      </c>
      <c r="D21" s="22" t="s">
        <v>85</v>
      </c>
    </row>
    <row r="22" customFormat="false" ht="12.8" hidden="false" customHeight="false" outlineLevel="0" collapsed="false">
      <c r="A22" s="22" t="s">
        <v>755</v>
      </c>
      <c r="B22" s="22" t="s">
        <v>768</v>
      </c>
      <c r="C22" s="22" t="s">
        <v>768</v>
      </c>
      <c r="D22" s="22" t="s">
        <v>759</v>
      </c>
    </row>
    <row r="23" customFormat="false" ht="12.8" hidden="false" customHeight="false" outlineLevel="0" collapsed="false">
      <c r="A23" s="22" t="s">
        <v>755</v>
      </c>
      <c r="B23" s="22" t="s">
        <v>769</v>
      </c>
      <c r="C23" s="22" t="s">
        <v>769</v>
      </c>
      <c r="D23" s="22" t="s">
        <v>759</v>
      </c>
    </row>
    <row r="24" customFormat="false" ht="12.8" hidden="false" customHeight="false" outlineLevel="0" collapsed="false">
      <c r="A24" s="22" t="s">
        <v>755</v>
      </c>
      <c r="B24" s="22" t="s">
        <v>326</v>
      </c>
      <c r="C24" s="22" t="s">
        <v>326</v>
      </c>
      <c r="D24" s="22" t="s">
        <v>759</v>
      </c>
    </row>
    <row r="25" customFormat="false" ht="12.8" hidden="false" customHeight="false" outlineLevel="0" collapsed="false">
      <c r="A25" s="22" t="s">
        <v>755</v>
      </c>
      <c r="B25" s="22" t="s">
        <v>770</v>
      </c>
      <c r="C25" s="22" t="s">
        <v>770</v>
      </c>
      <c r="D25" s="22" t="s">
        <v>759</v>
      </c>
    </row>
    <row r="26" customFormat="false" ht="12.8" hidden="false" customHeight="false" outlineLevel="0" collapsed="false">
      <c r="A26" s="22" t="s">
        <v>755</v>
      </c>
      <c r="B26" s="22" t="s">
        <v>771</v>
      </c>
      <c r="C26" s="22" t="s">
        <v>771</v>
      </c>
      <c r="D26" s="22" t="s">
        <v>762</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worksheet>
</file>

<file path=customXml/_rels/item1.xml.rels><?xml version="1.0" encoding="UTF-8"?>
<Relationships xmlns="http://schemas.openxmlformats.org/package/2006/relationships"><Relationship Id="rId1" Type="http://schemas.openxmlformats.org/officeDocument/2006/relationships/customXmlProps" Target="itemProps1.xml"/>
</Relationships>
</file>

<file path=customXml/_rels/item2.xml.rels><?xml version="1.0" encoding="UTF-8"?>
<Relationships xmlns="http://schemas.openxmlformats.org/package/2006/relationships"><Relationship Id="rId1" Type="http://schemas.openxmlformats.org/officeDocument/2006/relationships/customXmlProps" Target="itemProps2.xml"/>
</Relationships>
</file>

<file path=customXml/_rels/item3.xml.rels><?xml version="1.0" encoding="UTF-8"?>
<Relationships xmlns="http://schemas.openxmlformats.org/package/2006/relationships"><Relationship Id="rId1" Type="http://schemas.openxmlformats.org/officeDocument/2006/relationships/customXmlProps" Target="itemProps3.xml"/>
</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1e491a47-3780-4c40-a92e-7cdf62cc77f5" xsi:nil="true"/>
    <lcf76f155ced4ddcb4097134ff3c332f xmlns="75bb013c-a918-4405-902b-66b99abebcf1">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96615B8C99ADF549B2D42C71C853D2B2" ma:contentTypeVersion="14" ma:contentTypeDescription="Create a new document." ma:contentTypeScope="" ma:versionID="53cb544f992bb47a6c37fefa1d334edb">
  <xsd:schema xmlns:xsd="http://www.w3.org/2001/XMLSchema" xmlns:xs="http://www.w3.org/2001/XMLSchema" xmlns:p="http://schemas.microsoft.com/office/2006/metadata/properties" xmlns:ns2="75bb013c-a918-4405-902b-66b99abebcf1" xmlns:ns3="1e491a47-3780-4c40-a92e-7cdf62cc77f5" targetNamespace="http://schemas.microsoft.com/office/2006/metadata/properties" ma:root="true" ma:fieldsID="463ffa1ebe2691fb478830985fb41284" ns2:_="" ns3:_="">
    <xsd:import namespace="75bb013c-a918-4405-902b-66b99abebcf1"/>
    <xsd:import namespace="1e491a47-3780-4c40-a92e-7cdf62cc77f5"/>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ObjectDetectorVersions" minOccurs="0"/>
                <xsd:element ref="ns2:MediaLengthInSeconds"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5bb013c-a918-4405-902b-66b99abebcf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LengthInSeconds" ma:index="12"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ef0b2fa2-59f5-45f6-8de5-7357181cf6a1"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e491a47-3780-4c40-a92e-7cdf62cc77f5"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TaxCatchAll" ma:index="17" nillable="true" ma:displayName="Taxonomy Catch All Column" ma:hidden="true" ma:list="{483c6e36-fd5c-4e40-bc21-f18c6fe1d8c0}" ma:internalName="TaxCatchAll" ma:showField="CatchAllData" ma:web="1e491a47-3780-4c40-a92e-7cdf62cc77f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DBEA7A8B-B0C3-49F2-A92C-2CC358A70046}">
  <ds:schemaRefs>
    <ds:schemaRef ds:uri="http://schemas.microsoft.com/sharepoint/v3/contenttype/forms"/>
  </ds:schemaRefs>
</ds:datastoreItem>
</file>

<file path=customXml/itemProps2.xml><?xml version="1.0" encoding="utf-8"?>
<ds:datastoreItem xmlns:ds="http://schemas.openxmlformats.org/officeDocument/2006/customXml" ds:itemID="{5E93044D-FF99-4F3E-9BFE-19D50977A3E4}">
  <ds:schemaRefs>
    <ds:schemaRef ds:uri="http://schemas.microsoft.com/office/2006/metadata/properties"/>
    <ds:schemaRef ds:uri="http://schemas.microsoft.com/office/infopath/2007/PartnerControls"/>
    <ds:schemaRef ds:uri="1e491a47-3780-4c40-a92e-7cdf62cc77f5"/>
    <ds:schemaRef ds:uri="75bb013c-a918-4405-902b-66b99abebcf1"/>
  </ds:schemaRefs>
</ds:datastoreItem>
</file>

<file path=customXml/itemProps3.xml><?xml version="1.0" encoding="utf-8"?>
<ds:datastoreItem xmlns:ds="http://schemas.openxmlformats.org/officeDocument/2006/customXml" ds:itemID="{D6CD1C4C-C9DB-463E-A4B2-274CE14DB1A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5bb013c-a918-4405-902b-66b99abebcf1"/>
    <ds:schemaRef ds:uri="1e491a47-3780-4c40-a92e-7cdf62cc77f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emplate/>
  <TotalTime>1236</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2024-04-18T14:17:57Z</dcterms:created>
  <dc:creator>Tom Kimber (ICON0245)</dc:creator>
  <dc:description/>
  <dc:language>en-GB</dc:language>
  <cp:lastModifiedBy/>
  <dcterms:modified xsi:type="dcterms:W3CDTF">2026-10-01T10:25:44Z</dcterms:modified>
  <cp:revision>44</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0x01010096615B8C99ADF549B2D42C71C853D2B2</vt:lpwstr>
  </property>
  <property fmtid="{D5CDD505-2E9C-101B-9397-08002B2CF9AE}" pid="3" name="MediaServiceImageTags">
    <vt:lpwstr/>
  </property>
</Properties>
</file>